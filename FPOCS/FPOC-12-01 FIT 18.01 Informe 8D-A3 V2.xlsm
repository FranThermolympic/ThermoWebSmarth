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028" codeName="{AE6600E7-7A62-396C-DE95-9942FA9DD81E}"/>
  <workbookPr saveExternalLinkValues="0" codeName="ThisWorkbook"/>
  <mc:AlternateContent xmlns:mc="http://schemas.openxmlformats.org/markup-compatibility/2006">
    <mc:Choice Requires="x15">
      <x15ac:absPath xmlns:x15ac="http://schemas.microsoft.com/office/spreadsheetml/2010/11/ac" url="N:\FPOCS\"/>
    </mc:Choice>
  </mc:AlternateContent>
  <xr:revisionPtr revIDLastSave="0" documentId="13_ncr:1_{2887A141-36E2-4A93-AEA1-66786FD78505}" xr6:coauthVersionLast="47" xr6:coauthVersionMax="47" xr10:uidLastSave="{00000000-0000-0000-0000-000000000000}"/>
  <bookViews>
    <workbookView xWindow="28680" yWindow="-120" windowWidth="29040" windowHeight="15840" tabRatio="807" xr2:uid="{00000000-000D-0000-FFFF-FFFF00000000}"/>
  </bookViews>
  <sheets>
    <sheet name="8D-Report" sheetId="46" r:id="rId1"/>
    <sheet name="Statistics (D3+D7)" sheetId="50" r:id="rId2"/>
    <sheet name="Is l Is not" sheetId="57" r:id="rId3"/>
    <sheet name="Ishikawa" sheetId="55" r:id="rId4"/>
    <sheet name="5WHY" sheetId="59" r:id="rId5"/>
    <sheet name="Comment translation" sheetId="58" r:id="rId6"/>
    <sheet name="Info" sheetId="51" state="hidden" r:id="rId7"/>
    <sheet name="transl8" sheetId="54" state="hidden" r:id="rId8"/>
    <sheet name="invisible" sheetId="49" state="hidden" r:id="rId9"/>
    <sheet name="D1 Scope" sheetId="30" state="hidden" r:id="rId10"/>
  </sheets>
  <definedNames>
    <definedName name="_1Excel_BuiltIn_Print_Area_1">#REF!</definedName>
    <definedName name="_2Excel_BuiltIn_Print_Area_2">#REF!</definedName>
    <definedName name="_3Excel_BuiltIn_Print_Area_3">#REF!</definedName>
    <definedName name="_4Excel_BuiltIn_Print_Area_4">#REF!</definedName>
    <definedName name="_5Excel_BuiltIn_Print_Area_5">#REF!</definedName>
    <definedName name="_6Excel_BuiltIn_Print_Area_6">#REF!</definedName>
    <definedName name="_7Excel_BuiltIn_Print_Titles_1">#REF!</definedName>
    <definedName name="_xlnm._FilterDatabase" localSheetId="0" hidden="1">'8D-Report'!$R$2:$W$6</definedName>
    <definedName name="_xlnm.Extract" localSheetId="4">#REF!</definedName>
    <definedName name="_xlnm.Extract">#REF!</definedName>
    <definedName name="_xlnm.Print_Area" localSheetId="4">'5WHY'!$A$1:$K$29</definedName>
    <definedName name="_xlnm.Print_Area" localSheetId="0">'8D-Report'!$A$1:$X$36</definedName>
    <definedName name="_xlnm.Print_Area" localSheetId="5">'Comment translation'!$A$1:$O$122</definedName>
    <definedName name="_xlnm.Print_Area" localSheetId="9">'D1 Scope'!$A$1:$G$42</definedName>
    <definedName name="_xlnm.Print_Area" localSheetId="2">'Is l Is not'!$A$1:$I$51</definedName>
    <definedName name="_xlnm.Print_Area" localSheetId="3">Ishikawa!$A$1:$BG$31</definedName>
    <definedName name="_xlnm.Print_Area" localSheetId="7">transl8!#REF!</definedName>
    <definedName name="Excel_BuiltIn_Extract">#REF!</definedName>
    <definedName name="Excel_BuiltIn_Print_Area">#REF!</definedName>
    <definedName name="Excel_BuiltIn_Print_Titles">#REF!</definedName>
    <definedName name="HTML_CodePage" hidden="1">1252</definedName>
    <definedName name="HTML_Control" localSheetId="4" hidden="1">{"'Verr-enseig-ex'!$M$22:$M$23"}</definedName>
    <definedName name="HTML_Control" localSheetId="0" hidden="1">{"'Verr-enseig-ex'!$M$22:$M$23"}</definedName>
    <definedName name="HTML_Control" localSheetId="5" hidden="1">{"'Verr-enseig-ex'!$M$22:$M$23"}</definedName>
    <definedName name="HTML_Control" localSheetId="3" hidden="1">{"'Verr-enseig-ex'!$M$22:$M$23"}</definedName>
    <definedName name="HTML_Control" localSheetId="1" hidden="1">{"'Verr-enseig-ex'!$M$22:$M$23"}</definedName>
    <definedName name="HTML_Control" localSheetId="7" hidden="1">{"'Verr-enseig-ex'!$M$22:$M$23"}</definedName>
    <definedName name="HTML_Control" hidden="1">{"'Verr-enseig-ex'!$M$22:$M$23"}</definedName>
    <definedName name="HTML_Control2" localSheetId="4" hidden="1">{"'Verr-enseig-ex'!$M$22:$M$23"}</definedName>
    <definedName name="HTML_Control2" localSheetId="5" hidden="1">{"'Verr-enseig-ex'!$M$22:$M$23"}</definedName>
    <definedName name="HTML_Control2" localSheetId="3" hidden="1">{"'Verr-enseig-ex'!$M$22:$M$23"}</definedName>
    <definedName name="HTML_Control2" localSheetId="7" hidden="1">{"'Verr-enseig-ex'!$M$22:$M$23"}</definedName>
    <definedName name="HTML_Control2" hidden="1">{"'Verr-enseig-ex'!$M$22:$M$23"}</definedName>
    <definedName name="HTML_Description" hidden="1">""</definedName>
    <definedName name="HTML_Email" hidden="1">""</definedName>
    <definedName name="HTML_Header" hidden="1">"Verr-enseig-ex"</definedName>
    <definedName name="HTML_LastUpdate" hidden="1">"28/07/99"</definedName>
    <definedName name="HTML_LineAfter" hidden="1">FALSE</definedName>
    <definedName name="HTML_LineBefore" hidden="1">FALSE</definedName>
    <definedName name="HTML_Name" hidden="1">"Lee H. Troup"</definedName>
    <definedName name="HTML_OBDlg2" hidden="1">TRUE</definedName>
    <definedName name="HTML_OBDlg4" hidden="1">TRUE</definedName>
    <definedName name="HTML_OS" hidden="1">0</definedName>
    <definedName name="HTML_PathFile" hidden="1">"C:\Mes documents\MonHTML.htm"</definedName>
    <definedName name="HTML_Title" hidden="1">"Problem-solving"</definedName>
    <definedName name="Occurence" localSheetId="4" hidden="1">{"'Verr-enseig-ex'!$M$22:$M$23"}</definedName>
    <definedName name="Occurence" localSheetId="5" hidden="1">{"'Verr-enseig-ex'!$M$22:$M$23"}</definedName>
    <definedName name="Occurence" localSheetId="3" hidden="1">{"'Verr-enseig-ex'!$M$22:$M$23"}</definedName>
    <definedName name="Occurence" localSheetId="7" hidden="1">{"'Verr-enseig-ex'!$M$22:$M$23"}</definedName>
    <definedName name="Occurence" hidden="1">{"'Verr-enseig-ex'!$M$22:$M$23"}</definedName>
  </definedNames>
  <calcPr calcId="181029"/>
  <customWorkbookViews>
    <customWorkbookView name="AN01301 - Affichage personnalisé" guid="{ADC0CC81-1942-11D9-96B7-00A0C983DAD2}" mergeInterval="0" personalView="1" maximized="1" windowWidth="796" windowHeight="411" tabRatio="849" activeSheetId="1"/>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3" i="46" l="1"/>
  <c r="C2" i="46"/>
  <c r="G15" i="50"/>
  <c r="H15" i="50" s="1"/>
  <c r="I15" i="50" s="1"/>
  <c r="J15" i="50" s="1"/>
  <c r="K15" i="50" s="1"/>
  <c r="L15" i="50" s="1"/>
  <c r="M15" i="50" s="1"/>
  <c r="N15" i="50" s="1"/>
  <c r="O15" i="50" s="1"/>
  <c r="P15" i="50" s="1"/>
  <c r="Q15" i="50" s="1"/>
  <c r="R15" i="50" s="1"/>
  <c r="S15" i="50" s="1"/>
  <c r="T15" i="50" s="1"/>
  <c r="U15" i="50" s="1"/>
  <c r="V15" i="50" s="1"/>
  <c r="W15" i="50" s="1"/>
  <c r="X15" i="50" s="1"/>
  <c r="Y15" i="50" s="1"/>
  <c r="Z15" i="50" s="1"/>
  <c r="AA15" i="50" s="1"/>
  <c r="AB15" i="50" s="1"/>
  <c r="AC15" i="50" s="1"/>
  <c r="AD15" i="50" s="1"/>
  <c r="AE15" i="50" s="1"/>
  <c r="AF15" i="50" s="1"/>
  <c r="AG15" i="50" s="1"/>
  <c r="AH15" i="50" s="1"/>
  <c r="AI15" i="50" s="1"/>
  <c r="AJ15" i="50" s="1"/>
  <c r="AK15" i="50" s="1"/>
  <c r="AL15" i="50" s="1"/>
  <c r="AM15" i="50" s="1"/>
  <c r="AN15" i="50" s="1"/>
  <c r="AO15" i="50" s="1"/>
  <c r="AP15" i="50" s="1"/>
  <c r="AQ15" i="50" s="1"/>
  <c r="AR15" i="50" s="1"/>
  <c r="AS15" i="50" s="1"/>
  <c r="AT15" i="50" s="1"/>
  <c r="AU15" i="50" s="1"/>
  <c r="AV15" i="50" s="1"/>
  <c r="AW15" i="50" s="1"/>
  <c r="AX15" i="50" s="1"/>
  <c r="AY15" i="50" s="1"/>
  <c r="AZ15" i="50" s="1"/>
  <c r="BA15" i="50" s="1"/>
  <c r="BB15" i="50" s="1"/>
  <c r="BC15" i="50" s="1"/>
  <c r="BD15" i="50" s="1"/>
  <c r="BE15" i="50" s="1"/>
  <c r="BF15" i="50" s="1"/>
  <c r="BG15" i="50" s="1"/>
  <c r="BH15" i="50" s="1"/>
  <c r="BI15" i="50" s="1"/>
  <c r="BJ15" i="50" s="1"/>
  <c r="BK15" i="50" s="1"/>
  <c r="BL15" i="50" s="1"/>
  <c r="BM15" i="50" s="1"/>
  <c r="BN15" i="50" s="1"/>
  <c r="BO15" i="50" s="1"/>
  <c r="BP15" i="50" s="1"/>
  <c r="G7" i="46"/>
  <c r="M11" i="46"/>
  <c r="C17" i="46"/>
  <c r="L13" i="46"/>
  <c r="C100" i="46"/>
  <c r="W27" i="46"/>
  <c r="V27" i="46"/>
  <c r="U27" i="46"/>
  <c r="O35" i="46"/>
  <c r="M35" i="46"/>
  <c r="L35" i="46"/>
  <c r="W32" i="46"/>
  <c r="V32" i="46"/>
  <c r="U32" i="46"/>
  <c r="T35" i="46"/>
  <c r="S35" i="46"/>
  <c r="R35" i="46"/>
  <c r="S33" i="46"/>
  <c r="R33" i="46"/>
  <c r="S32" i="46"/>
  <c r="R32" i="46"/>
  <c r="S31" i="46"/>
  <c r="R31" i="46"/>
  <c r="S30" i="46"/>
  <c r="R30" i="46"/>
  <c r="S29" i="46"/>
  <c r="R29" i="46"/>
  <c r="S28" i="46"/>
  <c r="R28" i="46"/>
  <c r="S27" i="46"/>
  <c r="R27" i="46"/>
  <c r="T27" i="46"/>
  <c r="W26" i="46"/>
  <c r="V26" i="46"/>
  <c r="U26" i="46"/>
  <c r="T26" i="46"/>
  <c r="S26" i="46"/>
  <c r="W25" i="46"/>
  <c r="V25" i="46"/>
  <c r="U25" i="46"/>
  <c r="T25" i="46"/>
  <c r="S25" i="46"/>
  <c r="W17" i="46"/>
  <c r="V17" i="46"/>
  <c r="U17" i="46"/>
  <c r="T17" i="46"/>
  <c r="S17" i="46"/>
  <c r="W5" i="46"/>
  <c r="V5" i="46"/>
  <c r="U5" i="46"/>
  <c r="W4" i="46"/>
  <c r="V4" i="46"/>
  <c r="U4" i="46"/>
  <c r="W3" i="46"/>
  <c r="V3" i="46"/>
  <c r="U3" i="46"/>
  <c r="T5" i="46"/>
  <c r="T4" i="46"/>
  <c r="T3" i="46"/>
  <c r="S5" i="46"/>
  <c r="R5" i="46"/>
  <c r="S4" i="46"/>
  <c r="R4" i="46"/>
  <c r="S3" i="46"/>
  <c r="R3" i="46"/>
  <c r="W2" i="46"/>
  <c r="V2" i="46"/>
  <c r="U2" i="46"/>
  <c r="T2" i="46"/>
  <c r="S2" i="46"/>
  <c r="P2" i="46"/>
  <c r="O2" i="46"/>
  <c r="N2" i="46"/>
  <c r="M2" i="46"/>
  <c r="L15" i="46"/>
  <c r="L14" i="46"/>
  <c r="L12" i="46"/>
  <c r="L11" i="46"/>
  <c r="P17" i="46"/>
  <c r="O17" i="46"/>
  <c r="N17" i="46"/>
  <c r="M17" i="46"/>
  <c r="P33" i="46"/>
  <c r="O33" i="46"/>
  <c r="N33" i="46"/>
  <c r="M33" i="46"/>
  <c r="L33" i="46"/>
  <c r="P32" i="46"/>
  <c r="O32" i="46"/>
  <c r="N32" i="46"/>
  <c r="M32" i="46"/>
  <c r="L32" i="46"/>
  <c r="L31" i="46"/>
  <c r="L30" i="46"/>
  <c r="L29" i="46"/>
  <c r="L28" i="46"/>
  <c r="L27" i="46"/>
  <c r="H35" i="46"/>
  <c r="G35" i="46"/>
  <c r="C35" i="46"/>
  <c r="B35" i="46"/>
  <c r="J27" i="46"/>
  <c r="I27" i="46"/>
  <c r="H27" i="46"/>
  <c r="G27" i="46"/>
  <c r="F27" i="46"/>
  <c r="E27" i="46"/>
  <c r="D27" i="46"/>
  <c r="C33" i="46"/>
  <c r="B33" i="46"/>
  <c r="C32" i="46"/>
  <c r="B32" i="46"/>
  <c r="C31" i="46"/>
  <c r="B31" i="46"/>
  <c r="C30" i="46"/>
  <c r="B30" i="46"/>
  <c r="C29" i="46"/>
  <c r="B29" i="46"/>
  <c r="C28" i="46"/>
  <c r="B28" i="46"/>
  <c r="C26" i="46"/>
  <c r="B26" i="46"/>
  <c r="C25" i="46"/>
  <c r="B25" i="46"/>
  <c r="C24" i="46"/>
  <c r="B24" i="46"/>
  <c r="C23" i="46"/>
  <c r="B23" i="46"/>
  <c r="J23" i="46"/>
  <c r="I23" i="46"/>
  <c r="H23" i="46"/>
  <c r="G23" i="46"/>
  <c r="F23" i="46"/>
  <c r="E23" i="46"/>
  <c r="D26" i="46"/>
  <c r="D25" i="46"/>
  <c r="D24" i="46"/>
  <c r="D23" i="46"/>
  <c r="J22" i="46"/>
  <c r="I22" i="46"/>
  <c r="H22" i="46"/>
  <c r="G22" i="46"/>
  <c r="C22" i="46"/>
  <c r="B19" i="46"/>
  <c r="G15" i="46"/>
  <c r="B15" i="46"/>
  <c r="J14" i="46"/>
  <c r="I14" i="46"/>
  <c r="H14" i="46"/>
  <c r="I13" i="46"/>
  <c r="G13" i="46"/>
  <c r="G12" i="46"/>
  <c r="G11" i="46"/>
  <c r="G10" i="46"/>
  <c r="G9" i="46"/>
  <c r="G8" i="46"/>
  <c r="B7" i="46"/>
  <c r="G14" i="46"/>
  <c r="I4" i="46"/>
  <c r="G4" i="46"/>
  <c r="E4" i="46"/>
  <c r="D4" i="46"/>
  <c r="B4" i="46"/>
  <c r="B3" i="49"/>
  <c r="B4" i="49"/>
  <c r="B5" i="49"/>
  <c r="B6" i="49"/>
  <c r="A17" i="49"/>
  <c r="C6" i="49" s="1"/>
  <c r="B7" i="49"/>
  <c r="A16" i="49"/>
  <c r="C7" i="49" s="1"/>
  <c r="B8" i="49"/>
  <c r="C10" i="49" s="1"/>
  <c r="B9" i="49"/>
  <c r="A21" i="49"/>
  <c r="C9" i="49" s="1"/>
  <c r="D9" i="49"/>
  <c r="B10" i="49"/>
  <c r="D10" i="49"/>
  <c r="A12" i="49"/>
  <c r="C8" i="49" s="1"/>
  <c r="A13" i="49"/>
  <c r="D12" i="49" s="1"/>
  <c r="A19" i="49"/>
  <c r="A14" i="49"/>
  <c r="B25" i="49"/>
  <c r="B26" i="49"/>
  <c r="B27" i="49"/>
  <c r="B28" i="49"/>
  <c r="B30" i="49"/>
  <c r="A33" i="49"/>
  <c r="B33" i="49"/>
  <c r="C33" i="49"/>
  <c r="A37" i="49"/>
  <c r="B37" i="49"/>
  <c r="C37" i="49"/>
  <c r="D37" i="49"/>
  <c r="M4" i="59"/>
  <c r="M18" i="59"/>
  <c r="AT9" i="55"/>
  <c r="B32" i="55"/>
  <c r="C32" i="55"/>
  <c r="D32" i="55"/>
  <c r="E32" i="55"/>
  <c r="F32" i="55"/>
  <c r="G32" i="55"/>
  <c r="H32" i="55"/>
  <c r="I32" i="55"/>
  <c r="J32" i="55"/>
  <c r="K32" i="55"/>
  <c r="L32" i="55"/>
  <c r="M32" i="55"/>
  <c r="N32" i="55"/>
  <c r="O32" i="55"/>
  <c r="P32" i="55"/>
  <c r="Q32" i="55"/>
  <c r="R32" i="55"/>
  <c r="S32" i="55"/>
  <c r="T32" i="55"/>
  <c r="U32" i="55"/>
  <c r="V32" i="55"/>
  <c r="W32" i="55"/>
  <c r="X32" i="55"/>
  <c r="Y32" i="55"/>
  <c r="Z32" i="55"/>
  <c r="AA32" i="55"/>
  <c r="AB32" i="55"/>
  <c r="AC32" i="55"/>
  <c r="AD32" i="55"/>
  <c r="AE32" i="55"/>
  <c r="AF32" i="55"/>
  <c r="AG32" i="55"/>
  <c r="AH32" i="55"/>
  <c r="AI32" i="55"/>
  <c r="AJ32" i="55"/>
  <c r="AK32" i="55"/>
  <c r="AL32" i="55"/>
  <c r="AM32" i="55"/>
  <c r="AN32" i="55"/>
  <c r="AO32" i="55"/>
  <c r="AP32" i="55"/>
  <c r="AQ32" i="55"/>
  <c r="AR32" i="55"/>
  <c r="AS32" i="55"/>
  <c r="AT32" i="55"/>
  <c r="AU32" i="55"/>
  <c r="AV32" i="55"/>
  <c r="AW32" i="55"/>
  <c r="AX32" i="55"/>
  <c r="AY32" i="55"/>
  <c r="AZ32" i="55"/>
  <c r="BA32" i="55"/>
  <c r="BB32" i="55"/>
  <c r="BC32" i="55"/>
  <c r="BD32" i="55"/>
  <c r="BE32" i="55"/>
  <c r="BF32" i="55"/>
  <c r="BG32" i="55"/>
  <c r="B33" i="55"/>
  <c r="C33" i="55"/>
  <c r="D33" i="55"/>
  <c r="E33" i="55"/>
  <c r="F33" i="55"/>
  <c r="G33" i="55"/>
  <c r="H33" i="55"/>
  <c r="I33" i="55"/>
  <c r="J33" i="55"/>
  <c r="K33" i="55"/>
  <c r="L33" i="55"/>
  <c r="M33" i="55"/>
  <c r="N33" i="55"/>
  <c r="O33" i="55"/>
  <c r="P33" i="55"/>
  <c r="Q33" i="55"/>
  <c r="R33" i="55"/>
  <c r="S33" i="55"/>
  <c r="T33" i="55"/>
  <c r="U33" i="55"/>
  <c r="V33" i="55"/>
  <c r="W33" i="55"/>
  <c r="X33" i="55"/>
  <c r="Y33" i="55"/>
  <c r="Z33" i="55"/>
  <c r="AA33" i="55"/>
  <c r="AB33" i="55"/>
  <c r="AC33" i="55"/>
  <c r="AD33" i="55"/>
  <c r="AE33" i="55"/>
  <c r="AF33" i="55"/>
  <c r="AG33" i="55"/>
  <c r="AH33" i="55"/>
  <c r="AI33" i="55"/>
  <c r="AJ33" i="55"/>
  <c r="AK33" i="55"/>
  <c r="AL33" i="55"/>
  <c r="AM33" i="55"/>
  <c r="AN33" i="55"/>
  <c r="AO33" i="55"/>
  <c r="AP33" i="55"/>
  <c r="AQ33" i="55"/>
  <c r="AR33" i="55"/>
  <c r="AS33" i="55"/>
  <c r="AT33" i="55"/>
  <c r="AU33" i="55"/>
  <c r="AV33" i="55"/>
  <c r="AW33" i="55"/>
  <c r="AX33" i="55"/>
  <c r="AY33" i="55"/>
  <c r="AZ33" i="55"/>
  <c r="BA33" i="55"/>
  <c r="BB33" i="55"/>
  <c r="BC33" i="55"/>
  <c r="BD33" i="55"/>
  <c r="BE33" i="55"/>
  <c r="BF33" i="55"/>
  <c r="BG33" i="55"/>
  <c r="B34" i="55"/>
  <c r="C34" i="55"/>
  <c r="D34" i="55"/>
  <c r="E34" i="55"/>
  <c r="F34" i="55"/>
  <c r="G34" i="55"/>
  <c r="H34" i="55"/>
  <c r="I34" i="55"/>
  <c r="J34" i="55"/>
  <c r="K34" i="55"/>
  <c r="L34" i="55"/>
  <c r="M34" i="55"/>
  <c r="N34" i="55"/>
  <c r="O34" i="55"/>
  <c r="P34" i="55"/>
  <c r="Q34" i="55"/>
  <c r="R34" i="55"/>
  <c r="S34" i="55"/>
  <c r="T34" i="55"/>
  <c r="U34" i="55"/>
  <c r="V34" i="55"/>
  <c r="W34" i="55"/>
  <c r="X34" i="55"/>
  <c r="Y34" i="55"/>
  <c r="Z34" i="55"/>
  <c r="AA34" i="55"/>
  <c r="AB34" i="55"/>
  <c r="AC34" i="55"/>
  <c r="AD34" i="55"/>
  <c r="AE34" i="55"/>
  <c r="AF34" i="55"/>
  <c r="AG34" i="55"/>
  <c r="AH34" i="55"/>
  <c r="AI34" i="55"/>
  <c r="AJ34" i="55"/>
  <c r="AK34" i="55"/>
  <c r="AL34" i="55"/>
  <c r="AM34" i="55"/>
  <c r="AN34" i="55"/>
  <c r="AO34" i="55"/>
  <c r="AP34" i="55"/>
  <c r="AQ34" i="55"/>
  <c r="AR34" i="55"/>
  <c r="AS34" i="55"/>
  <c r="AT34" i="55"/>
  <c r="AU34" i="55"/>
  <c r="AV34" i="55"/>
  <c r="AW34" i="55"/>
  <c r="AX34" i="55"/>
  <c r="AY34" i="55"/>
  <c r="AZ34" i="55"/>
  <c r="BA34" i="55"/>
  <c r="BB34" i="55"/>
  <c r="BC34" i="55"/>
  <c r="BD34" i="55"/>
  <c r="BE34" i="55"/>
  <c r="BF34" i="55"/>
  <c r="BG34" i="55"/>
  <c r="B35" i="55"/>
  <c r="C35" i="55"/>
  <c r="D35" i="55"/>
  <c r="E35" i="55"/>
  <c r="F35" i="55"/>
  <c r="G35" i="55"/>
  <c r="H35" i="55"/>
  <c r="I35" i="55"/>
  <c r="J35" i="55"/>
  <c r="K35" i="55"/>
  <c r="L35" i="55"/>
  <c r="M35" i="55"/>
  <c r="N35" i="55"/>
  <c r="O35" i="55"/>
  <c r="P35" i="55"/>
  <c r="Q35" i="55"/>
  <c r="R35" i="55"/>
  <c r="S35" i="55"/>
  <c r="T35" i="55"/>
  <c r="U35" i="55"/>
  <c r="V35" i="55"/>
  <c r="W35" i="55"/>
  <c r="X35" i="55"/>
  <c r="Y35" i="55"/>
  <c r="Z35" i="55"/>
  <c r="AA35" i="55"/>
  <c r="AB35" i="55"/>
  <c r="AC35" i="55"/>
  <c r="AD35" i="55"/>
  <c r="AE35" i="55"/>
  <c r="AF35" i="55"/>
  <c r="AG35" i="55"/>
  <c r="AH35" i="55"/>
  <c r="AI35" i="55"/>
  <c r="AJ35" i="55"/>
  <c r="AK35" i="55"/>
  <c r="AL35" i="55"/>
  <c r="AM35" i="55"/>
  <c r="AN35" i="55"/>
  <c r="AO35" i="55"/>
  <c r="AP35" i="55"/>
  <c r="AQ35" i="55"/>
  <c r="AR35" i="55"/>
  <c r="AS35" i="55"/>
  <c r="AT35" i="55"/>
  <c r="AU35" i="55"/>
  <c r="AV35" i="55"/>
  <c r="AW35" i="55"/>
  <c r="AX35" i="55"/>
  <c r="AY35" i="55"/>
  <c r="AZ35" i="55"/>
  <c r="BA35" i="55"/>
  <c r="BB35" i="55"/>
  <c r="BC35" i="55"/>
  <c r="BD35" i="55"/>
  <c r="BE35" i="55"/>
  <c r="BF35" i="55"/>
  <c r="BG35" i="55"/>
  <c r="B36" i="55"/>
  <c r="C36" i="55"/>
  <c r="D36" i="55"/>
  <c r="E36" i="55"/>
  <c r="F36" i="55"/>
  <c r="G36" i="55"/>
  <c r="H36" i="55"/>
  <c r="I36" i="55"/>
  <c r="J36" i="55"/>
  <c r="K36" i="55"/>
  <c r="L36" i="55"/>
  <c r="M36" i="55"/>
  <c r="N36" i="55"/>
  <c r="O36" i="55"/>
  <c r="P36" i="55"/>
  <c r="Q36" i="55"/>
  <c r="R36" i="55"/>
  <c r="S36" i="55"/>
  <c r="T36" i="55"/>
  <c r="U36" i="55"/>
  <c r="V36" i="55"/>
  <c r="W36" i="55"/>
  <c r="X36" i="55"/>
  <c r="Y36" i="55"/>
  <c r="Z36" i="55"/>
  <c r="AA36" i="55"/>
  <c r="AB36" i="55"/>
  <c r="AC36" i="55"/>
  <c r="AD36" i="55"/>
  <c r="AE36" i="55"/>
  <c r="AF36" i="55"/>
  <c r="AG36" i="55"/>
  <c r="AH36" i="55"/>
  <c r="AI36" i="55"/>
  <c r="AJ36" i="55"/>
  <c r="AK36" i="55"/>
  <c r="AL36" i="55"/>
  <c r="AM36" i="55"/>
  <c r="AN36" i="55"/>
  <c r="AO36" i="55"/>
  <c r="AP36" i="55"/>
  <c r="AQ36" i="55"/>
  <c r="AR36" i="55"/>
  <c r="AS36" i="55"/>
  <c r="AT36" i="55"/>
  <c r="AU36" i="55"/>
  <c r="AV36" i="55"/>
  <c r="AW36" i="55"/>
  <c r="AX36" i="55"/>
  <c r="AY36" i="55"/>
  <c r="AZ36" i="55"/>
  <c r="BA36" i="55"/>
  <c r="BB36" i="55"/>
  <c r="BC36" i="55"/>
  <c r="BD36" i="55"/>
  <c r="BE36" i="55"/>
  <c r="BF36" i="55"/>
  <c r="BG36" i="55"/>
  <c r="B37" i="55"/>
  <c r="C37" i="55"/>
  <c r="D37" i="55"/>
  <c r="E37" i="55"/>
  <c r="F37" i="55"/>
  <c r="G37" i="55"/>
  <c r="H37" i="55"/>
  <c r="I37" i="55"/>
  <c r="J37" i="55"/>
  <c r="K37" i="55"/>
  <c r="L37" i="55"/>
  <c r="M37" i="55"/>
  <c r="N37" i="55"/>
  <c r="O37" i="55"/>
  <c r="P37" i="55"/>
  <c r="Q37" i="55"/>
  <c r="R37" i="55"/>
  <c r="S37" i="55"/>
  <c r="T37" i="55"/>
  <c r="U37" i="55"/>
  <c r="V37" i="55"/>
  <c r="W37" i="55"/>
  <c r="X37" i="55"/>
  <c r="Y37" i="55"/>
  <c r="Z37" i="55"/>
  <c r="AA37" i="55"/>
  <c r="AB37" i="55"/>
  <c r="AC37" i="55"/>
  <c r="AD37" i="55"/>
  <c r="AE37" i="55"/>
  <c r="AF37" i="55"/>
  <c r="AG37" i="55"/>
  <c r="AH37" i="55"/>
  <c r="AI37" i="55"/>
  <c r="AJ37" i="55"/>
  <c r="AK37" i="55"/>
  <c r="AL37" i="55"/>
  <c r="AM37" i="55"/>
  <c r="AN37" i="55"/>
  <c r="AO37" i="55"/>
  <c r="AP37" i="55"/>
  <c r="AQ37" i="55"/>
  <c r="AR37" i="55"/>
  <c r="AS37" i="55"/>
  <c r="BD37" i="55"/>
  <c r="BE37" i="55"/>
  <c r="BF37" i="55"/>
  <c r="BG37" i="55"/>
  <c r="B38" i="55"/>
  <c r="C38" i="55"/>
  <c r="D38" i="55"/>
  <c r="E38" i="55"/>
  <c r="F38" i="55"/>
  <c r="G38" i="55"/>
  <c r="H38" i="55"/>
  <c r="I38" i="55"/>
  <c r="J38" i="55"/>
  <c r="K38" i="55"/>
  <c r="L38" i="55"/>
  <c r="M38" i="55"/>
  <c r="N38" i="55"/>
  <c r="O38" i="55"/>
  <c r="P38" i="55"/>
  <c r="Q38" i="55"/>
  <c r="R38" i="55"/>
  <c r="S38" i="55"/>
  <c r="T38" i="55"/>
  <c r="U38" i="55"/>
  <c r="V38" i="55"/>
  <c r="W38" i="55"/>
  <c r="X38" i="55"/>
  <c r="Y38" i="55"/>
  <c r="Z38" i="55"/>
  <c r="AA38" i="55"/>
  <c r="AB38" i="55"/>
  <c r="AC38" i="55"/>
  <c r="AD38" i="55"/>
  <c r="AE38" i="55"/>
  <c r="AF38" i="55"/>
  <c r="AG38" i="55"/>
  <c r="AH38" i="55"/>
  <c r="AI38" i="55"/>
  <c r="AJ38" i="55"/>
  <c r="AK38" i="55"/>
  <c r="AL38" i="55"/>
  <c r="AM38" i="55"/>
  <c r="AN38" i="55"/>
  <c r="AO38" i="55"/>
  <c r="AP38" i="55"/>
  <c r="AQ38" i="55"/>
  <c r="AR38" i="55"/>
  <c r="AS38" i="55"/>
  <c r="BD38" i="55"/>
  <c r="BE38" i="55"/>
  <c r="BF38" i="55"/>
  <c r="BG38" i="55"/>
  <c r="B39" i="55"/>
  <c r="C39" i="55"/>
  <c r="D39" i="55"/>
  <c r="E39" i="55"/>
  <c r="F39" i="55"/>
  <c r="G39" i="55"/>
  <c r="H39" i="55"/>
  <c r="I39" i="55"/>
  <c r="J39" i="55"/>
  <c r="K39" i="55"/>
  <c r="L39" i="55"/>
  <c r="M39" i="55"/>
  <c r="N39" i="55"/>
  <c r="O39" i="55"/>
  <c r="P39" i="55"/>
  <c r="Q39" i="55"/>
  <c r="R39" i="55"/>
  <c r="S39" i="55"/>
  <c r="T39" i="55"/>
  <c r="U39" i="55"/>
  <c r="V39" i="55"/>
  <c r="W39" i="55"/>
  <c r="X39" i="55"/>
  <c r="Y39" i="55"/>
  <c r="Z39" i="55"/>
  <c r="AA39" i="55"/>
  <c r="AB39" i="55"/>
  <c r="AC39" i="55"/>
  <c r="AD39" i="55"/>
  <c r="AE39" i="55"/>
  <c r="AF39" i="55"/>
  <c r="AG39" i="55"/>
  <c r="AH39" i="55"/>
  <c r="AI39" i="55"/>
  <c r="AJ39" i="55"/>
  <c r="AK39" i="55"/>
  <c r="AL39" i="55"/>
  <c r="AM39" i="55"/>
  <c r="AN39" i="55"/>
  <c r="AO39" i="55"/>
  <c r="AP39" i="55"/>
  <c r="AQ39" i="55"/>
  <c r="AR39" i="55"/>
  <c r="AS39" i="55"/>
  <c r="BD39" i="55"/>
  <c r="BE39" i="55"/>
  <c r="BF39" i="55"/>
  <c r="BG39" i="55"/>
  <c r="B40" i="55"/>
  <c r="C40" i="55"/>
  <c r="D40" i="55"/>
  <c r="E40" i="55"/>
  <c r="F40" i="55"/>
  <c r="G40" i="55"/>
  <c r="H40" i="55"/>
  <c r="I40" i="55"/>
  <c r="J40" i="55"/>
  <c r="K40" i="55"/>
  <c r="L40" i="55"/>
  <c r="M40" i="55"/>
  <c r="N40" i="55"/>
  <c r="O40" i="55"/>
  <c r="P40" i="55"/>
  <c r="Q40" i="55"/>
  <c r="R40" i="55"/>
  <c r="S40" i="55"/>
  <c r="T40" i="55"/>
  <c r="U40" i="55"/>
  <c r="V40" i="55"/>
  <c r="W40" i="55"/>
  <c r="X40" i="55"/>
  <c r="Y40" i="55"/>
  <c r="Z40" i="55"/>
  <c r="AA40" i="55"/>
  <c r="AB40" i="55"/>
  <c r="AC40" i="55"/>
  <c r="AD40" i="55"/>
  <c r="AE40" i="55"/>
  <c r="AF40" i="55"/>
  <c r="AG40" i="55"/>
  <c r="AH40" i="55"/>
  <c r="AI40" i="55"/>
  <c r="AJ40" i="55"/>
  <c r="AK40" i="55"/>
  <c r="AL40" i="55"/>
  <c r="AM40" i="55"/>
  <c r="AN40" i="55"/>
  <c r="AO40" i="55"/>
  <c r="AP40" i="55"/>
  <c r="AQ40" i="55"/>
  <c r="AR40" i="55"/>
  <c r="AS40" i="55"/>
  <c r="BD40" i="55"/>
  <c r="BE40" i="55"/>
  <c r="BF40" i="55"/>
  <c r="BG40" i="55"/>
  <c r="B41" i="55"/>
  <c r="C41" i="55"/>
  <c r="D41" i="55"/>
  <c r="E41" i="55"/>
  <c r="F41" i="55"/>
  <c r="G41" i="55"/>
  <c r="H41" i="55"/>
  <c r="I41" i="55"/>
  <c r="J41" i="55"/>
  <c r="K41" i="55"/>
  <c r="L41" i="55"/>
  <c r="M41" i="55"/>
  <c r="N41" i="55"/>
  <c r="O41" i="55"/>
  <c r="P41" i="55"/>
  <c r="Q41" i="55"/>
  <c r="R41" i="55"/>
  <c r="S41" i="55"/>
  <c r="T41" i="55"/>
  <c r="U41" i="55"/>
  <c r="V41" i="55"/>
  <c r="W41" i="55"/>
  <c r="X41" i="55"/>
  <c r="Y41" i="55"/>
  <c r="Z41" i="55"/>
  <c r="AA41" i="55"/>
  <c r="AB41" i="55"/>
  <c r="AC41" i="55"/>
  <c r="AD41" i="55"/>
  <c r="AE41" i="55"/>
  <c r="AF41" i="55"/>
  <c r="AG41" i="55"/>
  <c r="AH41" i="55"/>
  <c r="AI41" i="55"/>
  <c r="AJ41" i="55"/>
  <c r="AK41" i="55"/>
  <c r="AL41" i="55"/>
  <c r="AM41" i="55"/>
  <c r="AN41" i="55"/>
  <c r="AO41" i="55"/>
  <c r="AP41" i="55"/>
  <c r="AQ41" i="55"/>
  <c r="AR41" i="55"/>
  <c r="AS41" i="55"/>
  <c r="BD41" i="55"/>
  <c r="BE41" i="55"/>
  <c r="BF41" i="55"/>
  <c r="BG41" i="55"/>
  <c r="B42" i="55"/>
  <c r="C42" i="55"/>
  <c r="D42" i="55"/>
  <c r="E42" i="55"/>
  <c r="A42" i="55" s="1"/>
  <c r="F42" i="55"/>
  <c r="G42" i="55"/>
  <c r="H42" i="55"/>
  <c r="I42" i="55"/>
  <c r="J42" i="55"/>
  <c r="K42" i="55"/>
  <c r="L42" i="55"/>
  <c r="M42" i="55"/>
  <c r="N42" i="55"/>
  <c r="O42" i="55"/>
  <c r="P42" i="55"/>
  <c r="Q42" i="55"/>
  <c r="R42" i="55"/>
  <c r="S42" i="55"/>
  <c r="T42" i="55"/>
  <c r="U42" i="55"/>
  <c r="V42" i="55"/>
  <c r="W42" i="55"/>
  <c r="X42" i="55"/>
  <c r="Y42" i="55"/>
  <c r="Z42" i="55"/>
  <c r="AA42" i="55"/>
  <c r="AB42" i="55"/>
  <c r="AC42" i="55"/>
  <c r="AD42" i="55"/>
  <c r="AE42" i="55"/>
  <c r="AF42" i="55"/>
  <c r="AG42" i="55"/>
  <c r="AH42" i="55"/>
  <c r="AI42" i="55"/>
  <c r="AJ42" i="55"/>
  <c r="AK42" i="55"/>
  <c r="AL42" i="55"/>
  <c r="AM42" i="55"/>
  <c r="AN42" i="55"/>
  <c r="AO42" i="55"/>
  <c r="AP42" i="55"/>
  <c r="AQ42" i="55"/>
  <c r="AR42" i="55"/>
  <c r="AS42" i="55"/>
  <c r="BD42" i="55"/>
  <c r="BE42" i="55"/>
  <c r="BF42" i="55"/>
  <c r="BG42" i="55"/>
  <c r="B43" i="55"/>
  <c r="C43" i="55"/>
  <c r="D43" i="55"/>
  <c r="E43" i="55"/>
  <c r="A43" i="55" s="1"/>
  <c r="F43" i="55"/>
  <c r="G43" i="55"/>
  <c r="H43" i="55"/>
  <c r="I43" i="55"/>
  <c r="J43" i="55"/>
  <c r="K43" i="55"/>
  <c r="L43" i="55"/>
  <c r="M43" i="55"/>
  <c r="N43" i="55"/>
  <c r="O43" i="55"/>
  <c r="P43" i="55"/>
  <c r="Q43" i="55"/>
  <c r="R43" i="55"/>
  <c r="S43" i="55"/>
  <c r="T43" i="55"/>
  <c r="U43" i="55"/>
  <c r="V43" i="55"/>
  <c r="W43" i="55"/>
  <c r="X43" i="55"/>
  <c r="Y43" i="55"/>
  <c r="Z43" i="55"/>
  <c r="AA43" i="55"/>
  <c r="AB43" i="55"/>
  <c r="AC43" i="55"/>
  <c r="AD43" i="55"/>
  <c r="AE43" i="55"/>
  <c r="AF43" i="55"/>
  <c r="AG43" i="55"/>
  <c r="AH43" i="55"/>
  <c r="AI43" i="55"/>
  <c r="AJ43" i="55"/>
  <c r="AK43" i="55"/>
  <c r="AL43" i="55"/>
  <c r="AM43" i="55"/>
  <c r="AN43" i="55"/>
  <c r="AO43" i="55"/>
  <c r="AP43" i="55"/>
  <c r="AQ43" i="55"/>
  <c r="AR43" i="55"/>
  <c r="AS43" i="55"/>
  <c r="BD43" i="55"/>
  <c r="BE43" i="55"/>
  <c r="BF43" i="55"/>
  <c r="BG43" i="55"/>
  <c r="B44" i="55"/>
  <c r="C44" i="55"/>
  <c r="D44" i="55"/>
  <c r="E44" i="55"/>
  <c r="F44" i="55"/>
  <c r="G44" i="55"/>
  <c r="H44" i="55"/>
  <c r="I44" i="55"/>
  <c r="J44" i="55"/>
  <c r="K44" i="55"/>
  <c r="L44" i="55"/>
  <c r="M44" i="55"/>
  <c r="N44" i="55"/>
  <c r="O44" i="55"/>
  <c r="P44" i="55"/>
  <c r="Q44" i="55"/>
  <c r="R44" i="55"/>
  <c r="S44" i="55"/>
  <c r="T44" i="55"/>
  <c r="U44" i="55"/>
  <c r="V44" i="55"/>
  <c r="W44" i="55"/>
  <c r="X44" i="55"/>
  <c r="Y44" i="55"/>
  <c r="Z44" i="55"/>
  <c r="AA44" i="55"/>
  <c r="AB44" i="55"/>
  <c r="AC44" i="55"/>
  <c r="AD44" i="55"/>
  <c r="AE44" i="55"/>
  <c r="AF44" i="55"/>
  <c r="AG44" i="55"/>
  <c r="AH44" i="55"/>
  <c r="AI44" i="55"/>
  <c r="AJ44" i="55"/>
  <c r="AK44" i="55"/>
  <c r="AL44" i="55"/>
  <c r="AM44" i="55"/>
  <c r="AN44" i="55"/>
  <c r="AO44" i="55"/>
  <c r="AP44" i="55"/>
  <c r="AQ44" i="55"/>
  <c r="AR44" i="55"/>
  <c r="AS44" i="55"/>
  <c r="BD44" i="55"/>
  <c r="BE44" i="55"/>
  <c r="BF44" i="55"/>
  <c r="BG44" i="55"/>
  <c r="B45" i="55"/>
  <c r="C45" i="55"/>
  <c r="D45" i="55"/>
  <c r="E45" i="55"/>
  <c r="F45" i="55"/>
  <c r="G45" i="55"/>
  <c r="H45" i="55"/>
  <c r="I45" i="55"/>
  <c r="J45" i="55"/>
  <c r="K45" i="55"/>
  <c r="L45" i="55"/>
  <c r="M45" i="55"/>
  <c r="N45" i="55"/>
  <c r="O45" i="55"/>
  <c r="P45" i="55"/>
  <c r="Q45" i="55"/>
  <c r="R45" i="55"/>
  <c r="S45" i="55"/>
  <c r="T45" i="55"/>
  <c r="U45" i="55"/>
  <c r="V45" i="55"/>
  <c r="W45" i="55"/>
  <c r="X45" i="55"/>
  <c r="Y45" i="55"/>
  <c r="Z45" i="55"/>
  <c r="AA45" i="55"/>
  <c r="AB45" i="55"/>
  <c r="AC45" i="55"/>
  <c r="AD45" i="55"/>
  <c r="AE45" i="55"/>
  <c r="AF45" i="55"/>
  <c r="AG45" i="55"/>
  <c r="AH45" i="55"/>
  <c r="AI45" i="55"/>
  <c r="AJ45" i="55"/>
  <c r="AK45" i="55"/>
  <c r="AL45" i="55"/>
  <c r="AM45" i="55"/>
  <c r="AN45" i="55"/>
  <c r="AO45" i="55"/>
  <c r="AP45" i="55"/>
  <c r="AQ45" i="55"/>
  <c r="AR45" i="55"/>
  <c r="AS45" i="55"/>
  <c r="BD45" i="55"/>
  <c r="BE45" i="55"/>
  <c r="BF45" i="55"/>
  <c r="BG45" i="55"/>
  <c r="B46" i="55"/>
  <c r="C46" i="55"/>
  <c r="D46" i="55"/>
  <c r="E46" i="55"/>
  <c r="F46" i="55"/>
  <c r="G46" i="55"/>
  <c r="H46" i="55"/>
  <c r="I46" i="55"/>
  <c r="J46" i="55"/>
  <c r="K46" i="55"/>
  <c r="L46" i="55"/>
  <c r="M46" i="55"/>
  <c r="N46" i="55"/>
  <c r="O46" i="55"/>
  <c r="P46" i="55"/>
  <c r="Q46" i="55"/>
  <c r="R46" i="55"/>
  <c r="S46" i="55"/>
  <c r="T46" i="55"/>
  <c r="U46" i="55"/>
  <c r="V46" i="55"/>
  <c r="W46" i="55"/>
  <c r="X46" i="55"/>
  <c r="Y46" i="55"/>
  <c r="Z46" i="55"/>
  <c r="AA46" i="55"/>
  <c r="AB46" i="55"/>
  <c r="AC46" i="55"/>
  <c r="AD46" i="55"/>
  <c r="AE46" i="55"/>
  <c r="AF46" i="55"/>
  <c r="AG46" i="55"/>
  <c r="AH46" i="55"/>
  <c r="AI46" i="55"/>
  <c r="AJ46" i="55"/>
  <c r="AK46" i="55"/>
  <c r="AL46" i="55"/>
  <c r="AM46" i="55"/>
  <c r="AN46" i="55"/>
  <c r="AO46" i="55"/>
  <c r="AP46" i="55"/>
  <c r="AQ46" i="55"/>
  <c r="AR46" i="55"/>
  <c r="AS46" i="55"/>
  <c r="BD46" i="55"/>
  <c r="BE46" i="55"/>
  <c r="BF46" i="55"/>
  <c r="BG46" i="55"/>
  <c r="B47" i="55"/>
  <c r="C47" i="55"/>
  <c r="D47" i="55"/>
  <c r="E47" i="55"/>
  <c r="A47" i="55" s="1"/>
  <c r="F47" i="55"/>
  <c r="G47" i="55"/>
  <c r="H47" i="55"/>
  <c r="I47" i="55"/>
  <c r="J47" i="55"/>
  <c r="K47" i="55"/>
  <c r="L47" i="55"/>
  <c r="M47" i="55"/>
  <c r="N47" i="55"/>
  <c r="O47" i="55"/>
  <c r="P47" i="55"/>
  <c r="Q47" i="55"/>
  <c r="R47" i="55"/>
  <c r="S47" i="55"/>
  <c r="T47" i="55"/>
  <c r="U47" i="55"/>
  <c r="V47" i="55"/>
  <c r="W47" i="55"/>
  <c r="X47" i="55"/>
  <c r="Y47" i="55"/>
  <c r="Z47" i="55"/>
  <c r="AA47" i="55"/>
  <c r="AB47" i="55"/>
  <c r="AC47" i="55"/>
  <c r="AD47" i="55"/>
  <c r="AE47" i="55"/>
  <c r="AF47" i="55"/>
  <c r="AG47" i="55"/>
  <c r="AH47" i="55"/>
  <c r="AI47" i="55"/>
  <c r="AJ47" i="55"/>
  <c r="AK47" i="55"/>
  <c r="AL47" i="55"/>
  <c r="AM47" i="55"/>
  <c r="AN47" i="55"/>
  <c r="AO47" i="55"/>
  <c r="AP47" i="55"/>
  <c r="AQ47" i="55"/>
  <c r="AR47" i="55"/>
  <c r="AS47" i="55"/>
  <c r="BD47" i="55"/>
  <c r="BE47" i="55"/>
  <c r="BF47" i="55"/>
  <c r="BG47" i="55"/>
  <c r="B48" i="55"/>
  <c r="C48" i="55"/>
  <c r="D48" i="55"/>
  <c r="E48" i="55"/>
  <c r="F48" i="55"/>
  <c r="G48" i="55"/>
  <c r="H48" i="55"/>
  <c r="I48" i="55"/>
  <c r="J48" i="55"/>
  <c r="K48" i="55"/>
  <c r="L48" i="55"/>
  <c r="M48" i="55"/>
  <c r="N48" i="55"/>
  <c r="O48" i="55"/>
  <c r="P48" i="55"/>
  <c r="Q48" i="55"/>
  <c r="R48" i="55"/>
  <c r="S48" i="55"/>
  <c r="T48" i="55"/>
  <c r="U48" i="55"/>
  <c r="V48" i="55"/>
  <c r="W48" i="55"/>
  <c r="X48" i="55"/>
  <c r="Y48" i="55"/>
  <c r="Z48" i="55"/>
  <c r="AA48" i="55"/>
  <c r="AB48" i="55"/>
  <c r="AC48" i="55"/>
  <c r="AD48" i="55"/>
  <c r="AE48" i="55"/>
  <c r="AF48" i="55"/>
  <c r="AG48" i="55"/>
  <c r="AH48" i="55"/>
  <c r="AI48" i="55"/>
  <c r="AJ48" i="55"/>
  <c r="AK48" i="55"/>
  <c r="AL48" i="55"/>
  <c r="AM48" i="55"/>
  <c r="AN48" i="55"/>
  <c r="AO48" i="55"/>
  <c r="AP48" i="55"/>
  <c r="AQ48" i="55"/>
  <c r="AR48" i="55"/>
  <c r="AS48" i="55"/>
  <c r="BD48" i="55"/>
  <c r="BE48" i="55"/>
  <c r="BF48" i="55"/>
  <c r="BG48" i="55"/>
  <c r="B49" i="55"/>
  <c r="C49" i="55"/>
  <c r="D49" i="55"/>
  <c r="E49" i="55"/>
  <c r="F49" i="55"/>
  <c r="G49" i="55"/>
  <c r="H49" i="55"/>
  <c r="I49" i="55"/>
  <c r="J49" i="55"/>
  <c r="K49" i="55"/>
  <c r="L49" i="55"/>
  <c r="M49" i="55"/>
  <c r="N49" i="55"/>
  <c r="O49" i="55"/>
  <c r="P49" i="55"/>
  <c r="Q49" i="55"/>
  <c r="R49" i="55"/>
  <c r="S49" i="55"/>
  <c r="T49" i="55"/>
  <c r="U49" i="55"/>
  <c r="V49" i="55"/>
  <c r="W49" i="55"/>
  <c r="X49" i="55"/>
  <c r="Y49" i="55"/>
  <c r="Z49" i="55"/>
  <c r="AA49" i="55"/>
  <c r="AB49" i="55"/>
  <c r="AC49" i="55"/>
  <c r="AD49" i="55"/>
  <c r="AE49" i="55"/>
  <c r="AF49" i="55"/>
  <c r="AG49" i="55"/>
  <c r="AH49" i="55"/>
  <c r="AI49" i="55"/>
  <c r="AJ49" i="55"/>
  <c r="AK49" i="55"/>
  <c r="AL49" i="55"/>
  <c r="AM49" i="55"/>
  <c r="AN49" i="55"/>
  <c r="AO49" i="55"/>
  <c r="AP49" i="55"/>
  <c r="AQ49" i="55"/>
  <c r="AR49" i="55"/>
  <c r="AS49" i="55"/>
  <c r="BD49" i="55"/>
  <c r="BE49" i="55"/>
  <c r="BF49" i="55"/>
  <c r="BG49" i="55"/>
  <c r="B50" i="55"/>
  <c r="C50" i="55"/>
  <c r="D50" i="55"/>
  <c r="E50" i="55"/>
  <c r="F50" i="55"/>
  <c r="G50" i="55"/>
  <c r="H50" i="55"/>
  <c r="I50" i="55"/>
  <c r="J50" i="55"/>
  <c r="K50" i="55"/>
  <c r="L50" i="55"/>
  <c r="M50" i="55"/>
  <c r="N50" i="55"/>
  <c r="O50" i="55"/>
  <c r="P50" i="55"/>
  <c r="Q50" i="55"/>
  <c r="R50" i="55"/>
  <c r="S50" i="55"/>
  <c r="T50" i="55"/>
  <c r="U50" i="55"/>
  <c r="V50" i="55"/>
  <c r="W50" i="55"/>
  <c r="X50" i="55"/>
  <c r="Y50" i="55"/>
  <c r="Z50" i="55"/>
  <c r="AA50" i="55"/>
  <c r="AB50" i="55"/>
  <c r="AC50" i="55"/>
  <c r="AD50" i="55"/>
  <c r="AE50" i="55"/>
  <c r="AF50" i="55"/>
  <c r="AG50" i="55"/>
  <c r="AH50" i="55"/>
  <c r="AI50" i="55"/>
  <c r="AJ50" i="55"/>
  <c r="AK50" i="55"/>
  <c r="AL50" i="55"/>
  <c r="AM50" i="55"/>
  <c r="AN50" i="55"/>
  <c r="AO50" i="55"/>
  <c r="AP50" i="55"/>
  <c r="AQ50" i="55"/>
  <c r="AR50" i="55"/>
  <c r="AS50" i="55"/>
  <c r="BD50" i="55"/>
  <c r="BE50" i="55"/>
  <c r="BF50" i="55"/>
  <c r="BG50" i="55"/>
  <c r="B51" i="55"/>
  <c r="C51" i="55"/>
  <c r="D51" i="55"/>
  <c r="E51" i="55"/>
  <c r="A51" i="55" s="1"/>
  <c r="F51" i="55"/>
  <c r="G51" i="55"/>
  <c r="H51" i="55"/>
  <c r="I51" i="55"/>
  <c r="J51" i="55"/>
  <c r="K51" i="55"/>
  <c r="L51" i="55"/>
  <c r="M51" i="55"/>
  <c r="N51" i="55"/>
  <c r="O51" i="55"/>
  <c r="P51" i="55"/>
  <c r="Q51" i="55"/>
  <c r="R51" i="55"/>
  <c r="S51" i="55"/>
  <c r="T51" i="55"/>
  <c r="U51" i="55"/>
  <c r="V51" i="55"/>
  <c r="W51" i="55"/>
  <c r="X51" i="55"/>
  <c r="Y51" i="55"/>
  <c r="Z51" i="55"/>
  <c r="AA51" i="55"/>
  <c r="AB51" i="55"/>
  <c r="AC51" i="55"/>
  <c r="AD51" i="55"/>
  <c r="AE51" i="55"/>
  <c r="AF51" i="55"/>
  <c r="AG51" i="55"/>
  <c r="AH51" i="55"/>
  <c r="AI51" i="55"/>
  <c r="AJ51" i="55"/>
  <c r="AK51" i="55"/>
  <c r="AL51" i="55"/>
  <c r="AM51" i="55"/>
  <c r="AN51" i="55"/>
  <c r="AO51" i="55"/>
  <c r="AP51" i="55"/>
  <c r="AQ51" i="55"/>
  <c r="AR51" i="55"/>
  <c r="AS51" i="55"/>
  <c r="BD51" i="55"/>
  <c r="BE51" i="55"/>
  <c r="BF51" i="55"/>
  <c r="BG51" i="55"/>
  <c r="B52" i="55"/>
  <c r="C52" i="55"/>
  <c r="D52" i="55"/>
  <c r="E52" i="55"/>
  <c r="F52" i="55"/>
  <c r="G52" i="55"/>
  <c r="H52" i="55"/>
  <c r="I52" i="55"/>
  <c r="J52" i="55"/>
  <c r="K52" i="55"/>
  <c r="L52" i="55"/>
  <c r="M52" i="55"/>
  <c r="N52" i="55"/>
  <c r="O52" i="55"/>
  <c r="P52" i="55"/>
  <c r="Q52" i="55"/>
  <c r="R52" i="55"/>
  <c r="S52" i="55"/>
  <c r="T52" i="55"/>
  <c r="U52" i="55"/>
  <c r="V52" i="55"/>
  <c r="W52" i="55"/>
  <c r="X52" i="55"/>
  <c r="Y52" i="55"/>
  <c r="Z52" i="55"/>
  <c r="AA52" i="55"/>
  <c r="AB52" i="55"/>
  <c r="AC52" i="55"/>
  <c r="AD52" i="55"/>
  <c r="AE52" i="55"/>
  <c r="AF52" i="55"/>
  <c r="AG52" i="55"/>
  <c r="AH52" i="55"/>
  <c r="AI52" i="55"/>
  <c r="AJ52" i="55"/>
  <c r="AK52" i="55"/>
  <c r="AL52" i="55"/>
  <c r="AM52" i="55"/>
  <c r="AN52" i="55"/>
  <c r="AO52" i="55"/>
  <c r="AP52" i="55"/>
  <c r="AQ52" i="55"/>
  <c r="AR52" i="55"/>
  <c r="AS52" i="55"/>
  <c r="AT52" i="55"/>
  <c r="AU52" i="55"/>
  <c r="AV52" i="55"/>
  <c r="AW52" i="55"/>
  <c r="AX52" i="55"/>
  <c r="AY52" i="55"/>
  <c r="AZ52" i="55"/>
  <c r="BA52" i="55"/>
  <c r="BB52" i="55"/>
  <c r="BC52" i="55"/>
  <c r="BD52" i="55"/>
  <c r="BE52" i="55"/>
  <c r="BF52" i="55"/>
  <c r="BG52" i="55"/>
  <c r="B53" i="55"/>
  <c r="C53" i="55"/>
  <c r="D53" i="55"/>
  <c r="E53" i="55"/>
  <c r="F53" i="55"/>
  <c r="G53" i="55"/>
  <c r="H53" i="55"/>
  <c r="I53" i="55"/>
  <c r="J53" i="55"/>
  <c r="K53" i="55"/>
  <c r="L53" i="55"/>
  <c r="M53" i="55"/>
  <c r="N53" i="55"/>
  <c r="O53" i="55"/>
  <c r="P53" i="55"/>
  <c r="Q53" i="55"/>
  <c r="R53" i="55"/>
  <c r="S53" i="55"/>
  <c r="T53" i="55"/>
  <c r="U53" i="55"/>
  <c r="V53" i="55"/>
  <c r="W53" i="55"/>
  <c r="X53" i="55"/>
  <c r="Y53" i="55"/>
  <c r="Z53" i="55"/>
  <c r="AA53" i="55"/>
  <c r="AB53" i="55"/>
  <c r="AC53" i="55"/>
  <c r="AD53" i="55"/>
  <c r="AE53" i="55"/>
  <c r="AF53" i="55"/>
  <c r="AG53" i="55"/>
  <c r="AH53" i="55"/>
  <c r="AI53" i="55"/>
  <c r="AJ53" i="55"/>
  <c r="AK53" i="55"/>
  <c r="AL53" i="55"/>
  <c r="AM53" i="55"/>
  <c r="AN53" i="55"/>
  <c r="AO53" i="55"/>
  <c r="AP53" i="55"/>
  <c r="AQ53" i="55"/>
  <c r="AR53" i="55"/>
  <c r="AS53" i="55"/>
  <c r="AT53" i="55"/>
  <c r="AU53" i="55"/>
  <c r="AV53" i="55"/>
  <c r="AW53" i="55"/>
  <c r="AX53" i="55"/>
  <c r="AY53" i="55"/>
  <c r="AZ53" i="55"/>
  <c r="BA53" i="55"/>
  <c r="BB53" i="55"/>
  <c r="BC53" i="55"/>
  <c r="BD53" i="55"/>
  <c r="BE53" i="55"/>
  <c r="BF53" i="55"/>
  <c r="BG53" i="55"/>
  <c r="B54" i="55"/>
  <c r="C54" i="55"/>
  <c r="D54" i="55"/>
  <c r="E54" i="55"/>
  <c r="F54" i="55"/>
  <c r="G54" i="55"/>
  <c r="H54" i="55"/>
  <c r="I54" i="55"/>
  <c r="J54" i="55"/>
  <c r="K54" i="55"/>
  <c r="L54" i="55"/>
  <c r="M54" i="55"/>
  <c r="N54" i="55"/>
  <c r="O54" i="55"/>
  <c r="P54" i="55"/>
  <c r="Q54" i="55"/>
  <c r="R54" i="55"/>
  <c r="S54" i="55"/>
  <c r="T54" i="55"/>
  <c r="U54" i="55"/>
  <c r="V54" i="55"/>
  <c r="W54" i="55"/>
  <c r="X54" i="55"/>
  <c r="Y54" i="55"/>
  <c r="Z54" i="55"/>
  <c r="AA54" i="55"/>
  <c r="AB54" i="55"/>
  <c r="AC54" i="55"/>
  <c r="AD54" i="55"/>
  <c r="AE54" i="55"/>
  <c r="AF54" i="55"/>
  <c r="AG54" i="55"/>
  <c r="AH54" i="55"/>
  <c r="AI54" i="55"/>
  <c r="AJ54" i="55"/>
  <c r="AK54" i="55"/>
  <c r="AL54" i="55"/>
  <c r="AM54" i="55"/>
  <c r="AN54" i="55"/>
  <c r="AO54" i="55"/>
  <c r="AP54" i="55"/>
  <c r="AQ54" i="55"/>
  <c r="AR54" i="55"/>
  <c r="AS54" i="55"/>
  <c r="AT54" i="55"/>
  <c r="AU54" i="55"/>
  <c r="AV54" i="55"/>
  <c r="AW54" i="55"/>
  <c r="AX54" i="55"/>
  <c r="AY54" i="55"/>
  <c r="AZ54" i="55"/>
  <c r="BA54" i="55"/>
  <c r="BB54" i="55"/>
  <c r="BC54" i="55"/>
  <c r="BD54" i="55"/>
  <c r="BE54" i="55"/>
  <c r="BF54" i="55"/>
  <c r="BG54" i="55"/>
  <c r="B55" i="55"/>
  <c r="C55" i="55"/>
  <c r="D55" i="55"/>
  <c r="E55" i="55"/>
  <c r="F55" i="55"/>
  <c r="G55" i="55"/>
  <c r="H55" i="55"/>
  <c r="I55" i="55"/>
  <c r="J55" i="55"/>
  <c r="K55" i="55"/>
  <c r="L55" i="55"/>
  <c r="M55" i="55"/>
  <c r="N55" i="55"/>
  <c r="O55" i="55"/>
  <c r="P55" i="55"/>
  <c r="Q55" i="55"/>
  <c r="R55" i="55"/>
  <c r="S55" i="55"/>
  <c r="T55" i="55"/>
  <c r="U55" i="55"/>
  <c r="V55" i="55"/>
  <c r="W55" i="55"/>
  <c r="X55" i="55"/>
  <c r="Y55" i="55"/>
  <c r="Z55" i="55"/>
  <c r="AA55" i="55"/>
  <c r="AB55" i="55"/>
  <c r="AC55" i="55"/>
  <c r="AD55" i="55"/>
  <c r="AE55" i="55"/>
  <c r="AF55" i="55"/>
  <c r="AG55" i="55"/>
  <c r="AH55" i="55"/>
  <c r="AI55" i="55"/>
  <c r="AJ55" i="55"/>
  <c r="AK55" i="55"/>
  <c r="AL55" i="55"/>
  <c r="AM55" i="55"/>
  <c r="AN55" i="55"/>
  <c r="AO55" i="55"/>
  <c r="AP55" i="55"/>
  <c r="AQ55" i="55"/>
  <c r="AR55" i="55"/>
  <c r="AS55" i="55"/>
  <c r="AT55" i="55"/>
  <c r="AU55" i="55"/>
  <c r="AV55" i="55"/>
  <c r="AW55" i="55"/>
  <c r="AX55" i="55"/>
  <c r="AY55" i="55"/>
  <c r="AZ55" i="55"/>
  <c r="BA55" i="55"/>
  <c r="BB55" i="55"/>
  <c r="BC55" i="55"/>
  <c r="BD55" i="55"/>
  <c r="BE55" i="55"/>
  <c r="BF55" i="55"/>
  <c r="BG55" i="55"/>
  <c r="B56" i="55"/>
  <c r="C56" i="55"/>
  <c r="D56" i="55"/>
  <c r="E56" i="55"/>
  <c r="F56" i="55"/>
  <c r="G56" i="55"/>
  <c r="H56" i="55"/>
  <c r="I56" i="55"/>
  <c r="J56" i="55"/>
  <c r="K56" i="55"/>
  <c r="L56" i="55"/>
  <c r="M56" i="55"/>
  <c r="N56" i="55"/>
  <c r="O56" i="55"/>
  <c r="P56" i="55"/>
  <c r="Q56" i="55"/>
  <c r="R56" i="55"/>
  <c r="S56" i="55"/>
  <c r="T56" i="55"/>
  <c r="U56" i="55"/>
  <c r="V56" i="55"/>
  <c r="W56" i="55"/>
  <c r="X56" i="55"/>
  <c r="Y56" i="55"/>
  <c r="Z56" i="55"/>
  <c r="AA56" i="55"/>
  <c r="AB56" i="55"/>
  <c r="AC56" i="55"/>
  <c r="AD56" i="55"/>
  <c r="AE56" i="55"/>
  <c r="AF56" i="55"/>
  <c r="AG56" i="55"/>
  <c r="AH56" i="55"/>
  <c r="AI56" i="55"/>
  <c r="AJ56" i="55"/>
  <c r="AK56" i="55"/>
  <c r="AL56" i="55"/>
  <c r="AM56" i="55"/>
  <c r="AN56" i="55"/>
  <c r="AO56" i="55"/>
  <c r="AP56" i="55"/>
  <c r="AQ56" i="55"/>
  <c r="AR56" i="55"/>
  <c r="AS56" i="55"/>
  <c r="AT56" i="55"/>
  <c r="AU56" i="55"/>
  <c r="AV56" i="55"/>
  <c r="AW56" i="55"/>
  <c r="AX56" i="55"/>
  <c r="AY56" i="55"/>
  <c r="AZ56" i="55"/>
  <c r="BA56" i="55"/>
  <c r="BB56" i="55"/>
  <c r="BC56" i="55"/>
  <c r="BD56" i="55"/>
  <c r="BE56" i="55"/>
  <c r="BF56" i="55"/>
  <c r="BG56" i="55"/>
  <c r="A24" i="57"/>
  <c r="G3" i="50"/>
  <c r="H3" i="50" s="1"/>
  <c r="I3" i="50" s="1"/>
  <c r="J3" i="50" s="1"/>
  <c r="K3" i="50" s="1"/>
  <c r="L3" i="50" s="1"/>
  <c r="M3" i="50" s="1"/>
  <c r="N3" i="50" s="1"/>
  <c r="O3" i="50" s="1"/>
  <c r="P3" i="50" s="1"/>
  <c r="Q3" i="50" s="1"/>
  <c r="R3" i="50" s="1"/>
  <c r="S3" i="50" s="1"/>
  <c r="T3" i="50" s="1"/>
  <c r="U3" i="50" s="1"/>
  <c r="V3" i="50" s="1"/>
  <c r="W3" i="50" s="1"/>
  <c r="X3" i="50" s="1"/>
  <c r="Y3" i="50" s="1"/>
  <c r="Z3" i="50" s="1"/>
  <c r="AA3" i="50" s="1"/>
  <c r="AB3" i="50" s="1"/>
  <c r="AC3" i="50" s="1"/>
  <c r="AD3" i="50" s="1"/>
  <c r="AE3" i="50" s="1"/>
  <c r="AF3" i="50" s="1"/>
  <c r="AG3" i="50" s="1"/>
  <c r="AH3" i="50" s="1"/>
  <c r="AI3" i="50" s="1"/>
  <c r="AJ3" i="50" s="1"/>
  <c r="AK3" i="50" s="1"/>
  <c r="AL3" i="50" s="1"/>
  <c r="AM3" i="50" s="1"/>
  <c r="AN3" i="50" s="1"/>
  <c r="AO3" i="50" s="1"/>
  <c r="AP3" i="50" s="1"/>
  <c r="AQ3" i="50" s="1"/>
  <c r="AR3" i="50" s="1"/>
  <c r="AS3" i="50" s="1"/>
  <c r="AT3" i="50" s="1"/>
  <c r="AU3" i="50" s="1"/>
  <c r="AV3" i="50" s="1"/>
  <c r="AW3" i="50" s="1"/>
  <c r="AX3" i="50" s="1"/>
  <c r="AY3" i="50" s="1"/>
  <c r="AZ3" i="50" s="1"/>
  <c r="BA3" i="50" s="1"/>
  <c r="BB3" i="50" s="1"/>
  <c r="BC3" i="50" s="1"/>
  <c r="BD3" i="50" s="1"/>
  <c r="BE3" i="50" s="1"/>
  <c r="BF3" i="50" s="1"/>
  <c r="BG3" i="50" s="1"/>
  <c r="BH3" i="50" s="1"/>
  <c r="BI3" i="50" s="1"/>
  <c r="BJ3" i="50" s="1"/>
  <c r="BK3" i="50" s="1"/>
  <c r="BL3" i="50" s="1"/>
  <c r="BM3" i="50" s="1"/>
  <c r="BN3" i="50" s="1"/>
  <c r="BO3" i="50" s="1"/>
  <c r="BP3" i="50" s="1"/>
  <c r="C4" i="50"/>
  <c r="E24" i="46" s="1"/>
  <c r="C5" i="50"/>
  <c r="F24" i="46" s="1"/>
  <c r="G9" i="50"/>
  <c r="H9" i="50" s="1"/>
  <c r="I9" i="50" s="1"/>
  <c r="J9" i="50" s="1"/>
  <c r="K9" i="50" s="1"/>
  <c r="L9" i="50" s="1"/>
  <c r="M9" i="50" s="1"/>
  <c r="N9" i="50" s="1"/>
  <c r="O9" i="50" s="1"/>
  <c r="P9" i="50" s="1"/>
  <c r="Q9" i="50" s="1"/>
  <c r="R9" i="50" s="1"/>
  <c r="S9" i="50" s="1"/>
  <c r="T9" i="50" s="1"/>
  <c r="U9" i="50" s="1"/>
  <c r="V9" i="50" s="1"/>
  <c r="W9" i="50" s="1"/>
  <c r="X9" i="50" s="1"/>
  <c r="Y9" i="50" s="1"/>
  <c r="Z9" i="50" s="1"/>
  <c r="AA9" i="50" s="1"/>
  <c r="AB9" i="50" s="1"/>
  <c r="AC9" i="50" s="1"/>
  <c r="AD9" i="50" s="1"/>
  <c r="AE9" i="50" s="1"/>
  <c r="AF9" i="50" s="1"/>
  <c r="AG9" i="50" s="1"/>
  <c r="AH9" i="50" s="1"/>
  <c r="AI9" i="50" s="1"/>
  <c r="AJ9" i="50" s="1"/>
  <c r="AK9" i="50" s="1"/>
  <c r="AL9" i="50" s="1"/>
  <c r="AM9" i="50" s="1"/>
  <c r="AN9" i="50" s="1"/>
  <c r="AO9" i="50" s="1"/>
  <c r="AP9" i="50" s="1"/>
  <c r="AQ9" i="50" s="1"/>
  <c r="AR9" i="50" s="1"/>
  <c r="AS9" i="50" s="1"/>
  <c r="AT9" i="50" s="1"/>
  <c r="AU9" i="50" s="1"/>
  <c r="AV9" i="50" s="1"/>
  <c r="AW9" i="50" s="1"/>
  <c r="AX9" i="50" s="1"/>
  <c r="AY9" i="50" s="1"/>
  <c r="AZ9" i="50" s="1"/>
  <c r="BA9" i="50" s="1"/>
  <c r="BB9" i="50" s="1"/>
  <c r="BC9" i="50" s="1"/>
  <c r="BD9" i="50" s="1"/>
  <c r="BE9" i="50" s="1"/>
  <c r="BF9" i="50" s="1"/>
  <c r="BG9" i="50" s="1"/>
  <c r="BH9" i="50" s="1"/>
  <c r="BI9" i="50" s="1"/>
  <c r="BJ9" i="50" s="1"/>
  <c r="BK9" i="50" s="1"/>
  <c r="BL9" i="50" s="1"/>
  <c r="BM9" i="50" s="1"/>
  <c r="BN9" i="50" s="1"/>
  <c r="BO9" i="50" s="1"/>
  <c r="BP9" i="50" s="1"/>
  <c r="C10" i="50"/>
  <c r="C11" i="50"/>
  <c r="F25" i="46" s="1"/>
  <c r="C16" i="50"/>
  <c r="E26" i="46" s="1"/>
  <c r="C17" i="50"/>
  <c r="F26" i="46" s="1"/>
  <c r="M12" i="46"/>
  <c r="M13" i="46"/>
  <c r="M14" i="46"/>
  <c r="M15" i="46"/>
  <c r="E25" i="46"/>
  <c r="M27" i="46"/>
  <c r="M28" i="46"/>
  <c r="M29" i="46"/>
  <c r="M30" i="46"/>
  <c r="M31" i="46"/>
  <c r="T33" i="46"/>
  <c r="N35" i="46"/>
  <c r="B216" i="46"/>
  <c r="A233" i="46"/>
  <c r="D16" i="49"/>
  <c r="U35" i="46" s="1"/>
  <c r="D11" i="49"/>
  <c r="A54" i="55" l="1"/>
  <c r="A49" i="55"/>
  <c r="A45" i="55"/>
  <c r="A34" i="55"/>
  <c r="A50" i="55"/>
  <c r="A48" i="55"/>
  <c r="A46" i="55"/>
  <c r="A44" i="55"/>
  <c r="A41" i="55"/>
  <c r="A37" i="55"/>
  <c r="A33" i="55"/>
  <c r="A52" i="55"/>
  <c r="B12" i="49"/>
  <c r="A55" i="55"/>
  <c r="A40" i="55"/>
  <c r="A39" i="55"/>
  <c r="A38" i="55"/>
  <c r="A56" i="55"/>
  <c r="A53" i="55"/>
  <c r="A36" i="55"/>
  <c r="A35" i="55"/>
  <c r="A32" i="55"/>
  <c r="A57" i="55" s="1"/>
  <c r="C5" i="49"/>
  <c r="F3" i="50"/>
  <c r="E3" i="50" s="1"/>
  <c r="D3" i="50" s="1"/>
  <c r="C24" i="49"/>
  <c r="F15" i="50"/>
  <c r="E15" i="50" s="1"/>
  <c r="D15" i="50" s="1"/>
  <c r="F9" i="50"/>
  <c r="E9" i="50" s="1"/>
  <c r="D9" i="50" s="1"/>
  <c r="D15"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ehrenpfo</author>
    <author>buckandr</author>
    <author>bevil</author>
    <author>tixier</author>
  </authors>
  <commentList>
    <comment ref="B2" authorId="0" shapeId="0" xr:uid="{00000000-0006-0000-0100-000001000000}">
      <text>
        <r>
          <rPr>
            <b/>
            <u/>
            <sz val="12"/>
            <color indexed="81"/>
            <rFont val="Tahoma"/>
            <family val="2"/>
          </rPr>
          <t>D1 evaluation:</t>
        </r>
        <r>
          <rPr>
            <b/>
            <sz val="12"/>
            <color indexed="81"/>
            <rFont val="Tahoma"/>
            <family val="2"/>
          </rPr>
          <t xml:space="preserve">
</t>
        </r>
        <r>
          <rPr>
            <b/>
            <sz val="12"/>
            <color indexed="8"/>
            <rFont val="Tahoma"/>
            <family val="2"/>
          </rPr>
          <t>bad:  0  point
expected:    1 point
good: more than expectation:  2 points</t>
        </r>
        <r>
          <rPr>
            <b/>
            <sz val="12"/>
            <color indexed="81"/>
            <rFont val="Tahoma"/>
            <family val="2"/>
          </rPr>
          <t xml:space="preserve">
</t>
        </r>
        <r>
          <rPr>
            <sz val="12"/>
            <color indexed="81"/>
            <rFont val="Tahoma"/>
            <family val="2"/>
          </rPr>
          <t xml:space="preserve">- </t>
        </r>
        <r>
          <rPr>
            <sz val="12"/>
            <color indexed="61"/>
            <rFont val="Tahoma"/>
            <family val="2"/>
          </rPr>
          <t xml:space="preserve"> Problem Definition for Faurecia View</t>
        </r>
        <r>
          <rPr>
            <b/>
            <sz val="12"/>
            <color indexed="81"/>
            <rFont val="Tahoma"/>
            <family val="2"/>
          </rPr>
          <t xml:space="preserve">
</t>
        </r>
        <r>
          <rPr>
            <sz val="12"/>
            <color indexed="61"/>
            <rFont val="Tahoma"/>
            <family val="2"/>
          </rPr>
          <t xml:space="preserve">- Clear definition of the difference between good and bad parts
- Use Good and Bad parts to explain problem                                                                                                                     
</t>
        </r>
        <r>
          <rPr>
            <sz val="12"/>
            <color indexed="10"/>
            <rFont val="Tahoma"/>
            <family val="2"/>
          </rPr>
          <t xml:space="preserve">
</t>
        </r>
        <r>
          <rPr>
            <sz val="12"/>
            <color indexed="48"/>
            <rFont val="Tahoma"/>
            <family val="2"/>
          </rPr>
          <t>Translation available in the sheet "Comment translation"</t>
        </r>
        <r>
          <rPr>
            <sz val="12"/>
            <color indexed="10"/>
            <rFont val="Tahoma"/>
            <family val="2"/>
          </rPr>
          <t xml:space="preserve">
</t>
        </r>
        <r>
          <rPr>
            <sz val="12"/>
            <color indexed="48"/>
            <rFont val="Tahoma"/>
            <family val="2"/>
          </rPr>
          <t>Die Deutsche Übersetzung ist verfügbar im Reiter "Comment translation"</t>
        </r>
        <r>
          <rPr>
            <sz val="12"/>
            <color indexed="10"/>
            <rFont val="Tahoma"/>
            <family val="2"/>
          </rPr>
          <t xml:space="preserve">
</t>
        </r>
        <r>
          <rPr>
            <sz val="12"/>
            <color indexed="48"/>
            <rFont val="Tahoma"/>
            <family val="2"/>
          </rPr>
          <t>Traduction disponible dans la feuille de calcul "Comment Translation"
Traduccion disponible en "Comment Translation"</t>
        </r>
        <r>
          <rPr>
            <sz val="12"/>
            <color indexed="10"/>
            <rFont val="Tahoma"/>
            <family val="2"/>
          </rPr>
          <t xml:space="preserve">
</t>
        </r>
      </text>
    </comment>
    <comment ref="L2" authorId="0" shapeId="0" xr:uid="{00000000-0006-0000-0100-000002000000}">
      <text>
        <r>
          <rPr>
            <b/>
            <sz val="12"/>
            <color indexed="48"/>
            <rFont val="Tahoma"/>
            <family val="2"/>
          </rPr>
          <t xml:space="preserve">D4 </t>
        </r>
        <r>
          <rPr>
            <b/>
            <sz val="12"/>
            <color indexed="81"/>
            <rFont val="Tahoma"/>
            <family val="2"/>
          </rPr>
          <t xml:space="preserve">evaluation:
bad:  0 points
expected:    1 point
good: more than expectation: 2 points
</t>
        </r>
        <r>
          <rPr>
            <sz val="12"/>
            <color indexed="61"/>
            <rFont val="Tahoma"/>
            <family val="2"/>
          </rPr>
          <t xml:space="preserve">
WHY NOT FOUND ?
</t>
        </r>
        <r>
          <rPr>
            <sz val="12"/>
            <color indexed="10"/>
            <rFont val="Tahoma"/>
            <family val="2"/>
          </rPr>
          <t>- DO NOT write words like "probably, maybe, could be, possible…."</t>
        </r>
        <r>
          <rPr>
            <sz val="12"/>
            <color indexed="61"/>
            <rFont val="Tahoma"/>
            <family val="2"/>
          </rPr>
          <t xml:space="preserve">
- Factors related to why not detected:
- Are the factors validated logical?
- What is the evidence to support the factors validated?
- Tools: 5Why; Gage R+R
</t>
        </r>
        <r>
          <rPr>
            <b/>
            <sz val="12"/>
            <color indexed="61"/>
            <rFont val="Tahoma"/>
            <family val="2"/>
          </rPr>
          <t>HINT</t>
        </r>
        <r>
          <rPr>
            <sz val="12"/>
            <color indexed="61"/>
            <rFont val="Tahoma"/>
            <family val="2"/>
          </rPr>
          <t xml:space="preserve">
Attach to 8D: Pictures, video,s measuring reports, sub supplier info's</t>
        </r>
      </text>
    </comment>
    <comment ref="R2" authorId="0" shapeId="0" xr:uid="{00000000-0006-0000-0100-000003000000}">
      <text>
        <r>
          <rPr>
            <b/>
            <sz val="12"/>
            <color indexed="81"/>
            <rFont val="Tahoma"/>
            <family val="2"/>
          </rPr>
          <t xml:space="preserve">
</t>
        </r>
        <r>
          <rPr>
            <b/>
            <sz val="12"/>
            <color indexed="48"/>
            <rFont val="Tahoma"/>
            <family val="2"/>
          </rPr>
          <t xml:space="preserve">D6 .1 </t>
        </r>
        <r>
          <rPr>
            <b/>
            <u/>
            <sz val="12"/>
            <color indexed="81"/>
            <rFont val="Tahoma"/>
            <family val="2"/>
          </rPr>
          <t xml:space="preserve">evaluation:
</t>
        </r>
        <r>
          <rPr>
            <b/>
            <sz val="12"/>
            <color indexed="81"/>
            <rFont val="Tahoma"/>
            <family val="2"/>
          </rPr>
          <t xml:space="preserve">bad:  0  points
expected:    1 point
good: more than expectation: 2 points
</t>
        </r>
        <r>
          <rPr>
            <sz val="12"/>
            <color indexed="61"/>
            <rFont val="Tahoma"/>
            <family val="2"/>
          </rPr>
          <t>Countermeasure status is clear:
                 -25% / 50% / 75% / 100%
                  -Implemented &amp; checked
- By adjusting the process parameters the problem can be reproduced.
- Countermeasures should involve changes to either product or Process.</t>
        </r>
        <r>
          <rPr>
            <b/>
            <sz val="12"/>
            <color indexed="81"/>
            <rFont val="Tahoma"/>
            <family val="2"/>
          </rPr>
          <t xml:space="preserve">
</t>
        </r>
        <r>
          <rPr>
            <b/>
            <i/>
            <u/>
            <sz val="14"/>
            <color indexed="10"/>
            <rFont val="Tahoma"/>
            <family val="2"/>
          </rPr>
          <t xml:space="preserve">Retrain operator is not a long term action!
</t>
        </r>
        <r>
          <rPr>
            <b/>
            <i/>
            <sz val="14"/>
            <color indexed="10"/>
            <rFont val="Tahoma"/>
            <family val="2"/>
          </rPr>
          <t>HINT: Do not start D6 before having completed D4 and D5</t>
        </r>
        <r>
          <rPr>
            <b/>
            <i/>
            <u/>
            <sz val="14"/>
            <color indexed="10"/>
            <rFont val="Tahoma"/>
            <family val="2"/>
          </rPr>
          <t xml:space="preserve">
</t>
        </r>
      </text>
    </comment>
    <comment ref="R3" authorId="1" shapeId="0" xr:uid="{00000000-0006-0000-0100-000004000000}">
      <text>
        <r>
          <rPr>
            <b/>
            <sz val="12"/>
            <color indexed="48"/>
            <rFont val="Tahoma"/>
            <family val="2"/>
          </rPr>
          <t xml:space="preserve">D6.2 </t>
        </r>
        <r>
          <rPr>
            <b/>
            <sz val="12"/>
            <color indexed="61"/>
            <rFont val="Tahoma"/>
            <family val="2"/>
          </rPr>
          <t>Show the relationship between identified root causes in D4 &amp; D5</t>
        </r>
      </text>
    </comment>
    <comment ref="I6" authorId="1" shapeId="0" xr:uid="{00000000-0006-0000-0100-000005000000}">
      <text>
        <r>
          <rPr>
            <b/>
            <sz val="16"/>
            <color indexed="12"/>
            <rFont val="Tahoma"/>
            <family val="2"/>
          </rPr>
          <t xml:space="preserve">D1.1 </t>
        </r>
        <r>
          <rPr>
            <b/>
            <sz val="16"/>
            <color indexed="61"/>
            <rFont val="Tahoma"/>
            <family val="2"/>
          </rPr>
          <t>The start date is linked with "Statistics D3-D7"file Please fill dd/mm/yyyy!</t>
        </r>
      </text>
    </comment>
    <comment ref="R6" authorId="2" shapeId="0" xr:uid="{00000000-0006-0000-0100-000006000000}">
      <text>
        <r>
          <rPr>
            <b/>
            <sz val="16"/>
            <color indexed="12"/>
            <rFont val="Tahoma"/>
            <family val="2"/>
          </rPr>
          <t>D6.3</t>
        </r>
        <r>
          <rPr>
            <b/>
            <sz val="16"/>
            <color indexed="81"/>
            <rFont val="Tahoma"/>
            <family val="2"/>
          </rPr>
          <t xml:space="preserve"> Show the relationship between identified root causes in D4 &amp; D5
example:
</t>
        </r>
        <r>
          <rPr>
            <sz val="16"/>
            <color indexed="81"/>
            <rFont val="Tahoma"/>
            <family val="2"/>
          </rPr>
          <t>D4.1 
D4.2
D5.1
D5.2</t>
        </r>
      </text>
    </comment>
    <comment ref="I8" authorId="2" shapeId="0" xr:uid="{00000000-0006-0000-0100-000007000000}">
      <text>
        <r>
          <rPr>
            <b/>
            <sz val="16"/>
            <color indexed="81"/>
            <rFont val="Tahoma"/>
            <family val="2"/>
          </rPr>
          <t xml:space="preserve">place when defect was found 
Example:
</t>
        </r>
        <r>
          <rPr>
            <sz val="16"/>
            <color indexed="81"/>
            <rFont val="Tahoma"/>
            <family val="2"/>
          </rPr>
          <t>incoming inspection
production process(position number/name)
final control
electrical tester
customer product audit
testing track
endurance track 
...</t>
        </r>
      </text>
    </comment>
    <comment ref="R8" authorId="2" shapeId="0" xr:uid="{00000000-0006-0000-0100-000008000000}">
      <text>
        <r>
          <rPr>
            <b/>
            <sz val="16"/>
            <color indexed="12"/>
            <rFont val="Tahoma"/>
            <family val="2"/>
          </rPr>
          <t>D6.3</t>
        </r>
        <r>
          <rPr>
            <b/>
            <sz val="16"/>
            <color indexed="81"/>
            <rFont val="Tahoma"/>
            <family val="2"/>
          </rPr>
          <t xml:space="preserve"> Show the relationship between identified root causes in D4 &amp; D5
example:
</t>
        </r>
        <r>
          <rPr>
            <sz val="16"/>
            <color indexed="81"/>
            <rFont val="Tahoma"/>
            <family val="2"/>
          </rPr>
          <t>D4.1 
D4.2
D5.1
D5.2</t>
        </r>
      </text>
    </comment>
    <comment ref="I9" authorId="2" shapeId="0" xr:uid="{00000000-0006-0000-0100-000009000000}">
      <text>
        <r>
          <rPr>
            <b/>
            <sz val="16"/>
            <color indexed="81"/>
            <rFont val="Tahoma"/>
            <family val="2"/>
          </rPr>
          <t>define precisely - example</t>
        </r>
        <r>
          <rPr>
            <sz val="16"/>
            <color indexed="81"/>
            <rFont val="Tahoma"/>
            <family val="2"/>
          </rPr>
          <t xml:space="preserve">
shift A, 22:30 on 15.3.2013 </t>
        </r>
      </text>
    </comment>
    <comment ref="I10" authorId="2" shapeId="0" xr:uid="{00000000-0006-0000-0100-00000A000000}">
      <text>
        <r>
          <rPr>
            <b/>
            <sz val="16"/>
            <color indexed="81"/>
            <rFont val="Tahoma"/>
            <family val="2"/>
          </rPr>
          <t xml:space="preserve">specify clearly whot found it - example:
</t>
        </r>
        <r>
          <rPr>
            <sz val="16"/>
            <color indexed="81"/>
            <rFont val="Tahoma"/>
            <family val="2"/>
          </rPr>
          <t xml:space="preserve">product auditor
production line operator 
logistics operator
incoming material inspector
final control inspector
functional tester
customer auditor
test truck driver
resident...
</t>
        </r>
        <r>
          <rPr>
            <i/>
            <sz val="16"/>
            <color indexed="81"/>
            <rFont val="Tahoma"/>
            <family val="2"/>
          </rPr>
          <t>You can also write down the name of person</t>
        </r>
      </text>
    </comment>
    <comment ref="R10" authorId="2" shapeId="0" xr:uid="{00000000-0006-0000-0100-00000B000000}">
      <text>
        <r>
          <rPr>
            <b/>
            <sz val="16"/>
            <color indexed="12"/>
            <rFont val="Tahoma"/>
            <family val="2"/>
          </rPr>
          <t>D6.3</t>
        </r>
        <r>
          <rPr>
            <b/>
            <sz val="16"/>
            <color indexed="81"/>
            <rFont val="Tahoma"/>
            <family val="2"/>
          </rPr>
          <t xml:space="preserve"> Show the relationship between identified root causes in D4 &amp; D5
example:
</t>
        </r>
        <r>
          <rPr>
            <sz val="16"/>
            <color indexed="81"/>
            <rFont val="Tahoma"/>
            <family val="2"/>
          </rPr>
          <t>D4.1 
D4.2
D5.1
D5.2</t>
        </r>
      </text>
    </comment>
    <comment ref="I11" authorId="2" shapeId="0" xr:uid="{00000000-0006-0000-0100-00000C000000}">
      <text>
        <r>
          <rPr>
            <b/>
            <sz val="16"/>
            <color indexed="81"/>
            <rFont val="Tahoma"/>
            <family val="2"/>
          </rPr>
          <t xml:space="preserve">
examples:
</t>
        </r>
        <r>
          <rPr>
            <sz val="16"/>
            <color indexed="81"/>
            <rFont val="Tahoma"/>
            <family val="2"/>
          </rPr>
          <t>visual
haptic
measuring
hearing (noise)
tester...</t>
        </r>
      </text>
    </comment>
    <comment ref="R12" authorId="2" shapeId="0" xr:uid="{00000000-0006-0000-0100-00000D000000}">
      <text>
        <r>
          <rPr>
            <b/>
            <sz val="16"/>
            <color indexed="12"/>
            <rFont val="Tahoma"/>
            <family val="2"/>
          </rPr>
          <t>D6.3</t>
        </r>
        <r>
          <rPr>
            <b/>
            <sz val="16"/>
            <color indexed="81"/>
            <rFont val="Tahoma"/>
            <family val="2"/>
          </rPr>
          <t xml:space="preserve"> Show the relationship between identified root causes in D4 &amp; D5
example:
</t>
        </r>
        <r>
          <rPr>
            <sz val="16"/>
            <color indexed="81"/>
            <rFont val="Tahoma"/>
            <family val="2"/>
          </rPr>
          <t>D4.1 
D4.2
D5.1
D5.2</t>
        </r>
      </text>
    </comment>
    <comment ref="R14" authorId="2" shapeId="0" xr:uid="{00000000-0006-0000-0100-00000E000000}">
      <text>
        <r>
          <rPr>
            <b/>
            <sz val="16"/>
            <color indexed="12"/>
            <rFont val="Tahoma"/>
            <family val="2"/>
          </rPr>
          <t>D6.3</t>
        </r>
        <r>
          <rPr>
            <b/>
            <sz val="16"/>
            <color indexed="81"/>
            <rFont val="Tahoma"/>
            <family val="2"/>
          </rPr>
          <t xml:space="preserve"> Show the relationship between identified root causes in D4 &amp; D5
example:
</t>
        </r>
        <r>
          <rPr>
            <sz val="16"/>
            <color indexed="81"/>
            <rFont val="Tahoma"/>
            <family val="2"/>
          </rPr>
          <t>D4.1 
D4.2
D5.1
D5.2</t>
        </r>
      </text>
    </comment>
    <comment ref="B17" authorId="0" shapeId="0" xr:uid="{00000000-0006-0000-0100-00000F000000}">
      <text>
        <r>
          <rPr>
            <b/>
            <u/>
            <sz val="12"/>
            <color indexed="48"/>
            <rFont val="Tahoma"/>
            <family val="2"/>
          </rPr>
          <t>D2.1</t>
        </r>
        <r>
          <rPr>
            <b/>
            <u/>
            <sz val="12"/>
            <color indexed="81"/>
            <rFont val="Tahoma"/>
            <family val="2"/>
          </rPr>
          <t xml:space="preserve"> evaluation:
</t>
        </r>
        <r>
          <rPr>
            <b/>
            <sz val="12"/>
            <color indexed="81"/>
            <rFont val="Tahoma"/>
            <family val="2"/>
          </rPr>
          <t xml:space="preserve">bad:  0 point
expected:    1 point </t>
        </r>
        <r>
          <rPr>
            <sz val="12"/>
            <color indexed="61"/>
            <rFont val="Tahoma"/>
            <family val="2"/>
          </rPr>
          <t>risk on ohter products identified)</t>
        </r>
        <r>
          <rPr>
            <b/>
            <sz val="12"/>
            <color indexed="81"/>
            <rFont val="Tahoma"/>
            <family val="2"/>
          </rPr>
          <t xml:space="preserve">
good: 2 points </t>
        </r>
        <r>
          <rPr>
            <sz val="12"/>
            <color indexed="81"/>
            <rFont val="Tahoma"/>
            <family val="2"/>
          </rPr>
          <t xml:space="preserve"> </t>
        </r>
        <r>
          <rPr>
            <sz val="12"/>
            <color indexed="61"/>
            <rFont val="Tahoma"/>
            <family val="2"/>
          </rPr>
          <t>risk on other products and risk of warranty claims identified)</t>
        </r>
        <r>
          <rPr>
            <sz val="12"/>
            <color indexed="81"/>
            <rFont val="Tahoma"/>
            <family val="2"/>
          </rPr>
          <t xml:space="preserve">
</t>
        </r>
        <r>
          <rPr>
            <b/>
            <sz val="12"/>
            <color indexed="81"/>
            <rFont val="Tahoma"/>
            <family val="2"/>
          </rPr>
          <t xml:space="preserve">
</t>
        </r>
        <r>
          <rPr>
            <b/>
            <sz val="12"/>
            <color indexed="61"/>
            <rFont val="Tahoma"/>
            <family val="2"/>
          </rPr>
          <t xml:space="preserve">- </t>
        </r>
        <r>
          <rPr>
            <sz val="12"/>
            <color indexed="61"/>
            <rFont val="Tahoma"/>
            <family val="2"/>
          </rPr>
          <t>Are potential</t>
        </r>
        <r>
          <rPr>
            <b/>
            <sz val="12"/>
            <color indexed="61"/>
            <rFont val="Tahoma"/>
            <family val="2"/>
          </rPr>
          <t xml:space="preserve"> </t>
        </r>
        <r>
          <rPr>
            <sz val="12"/>
            <color indexed="61"/>
            <rFont val="Tahoma"/>
            <family val="2"/>
          </rPr>
          <t xml:space="preserve">risks on other products or processes identified and reported?
</t>
        </r>
        <r>
          <rPr>
            <b/>
            <sz val="12"/>
            <color indexed="61"/>
            <rFont val="Tahoma"/>
            <family val="2"/>
          </rPr>
          <t xml:space="preserve">
- </t>
        </r>
        <r>
          <rPr>
            <sz val="12"/>
            <color indexed="61"/>
            <rFont val="Tahoma"/>
            <family val="2"/>
          </rPr>
          <t>Other plants/customers warned?</t>
        </r>
      </text>
    </comment>
    <comment ref="C17" authorId="0" shapeId="0" xr:uid="{00000000-0006-0000-0100-000010000000}">
      <text>
        <r>
          <rPr>
            <b/>
            <sz val="12"/>
            <color indexed="48"/>
            <rFont val="Tahoma"/>
            <family val="2"/>
          </rPr>
          <t xml:space="preserve">D2.2 </t>
        </r>
        <r>
          <rPr>
            <sz val="12"/>
            <color indexed="81"/>
            <rFont val="Tahoma"/>
            <family val="2"/>
          </rPr>
          <t xml:space="preserve">
Risks on other products or processes?
Other vehicles potentially impacted?
Same severity of defect?
Other plants warned?
How can the defect be detected ?
Potential volume impacted?</t>
        </r>
      </text>
    </comment>
    <comment ref="L17" authorId="0" shapeId="0" xr:uid="{00000000-0006-0000-0100-000011000000}">
      <text>
        <r>
          <rPr>
            <b/>
            <sz val="12"/>
            <color indexed="48"/>
            <rFont val="Tahoma"/>
            <family val="2"/>
          </rPr>
          <t xml:space="preserve">D5.1 </t>
        </r>
        <r>
          <rPr>
            <b/>
            <sz val="12"/>
            <color indexed="81"/>
            <rFont val="Tahoma"/>
            <family val="2"/>
          </rPr>
          <t>evaluation:</t>
        </r>
        <r>
          <rPr>
            <b/>
            <sz val="12"/>
            <color indexed="48"/>
            <rFont val="Tahoma"/>
            <family val="2"/>
          </rPr>
          <t xml:space="preserve">
</t>
        </r>
        <r>
          <rPr>
            <b/>
            <sz val="12"/>
            <color indexed="81"/>
            <rFont val="Tahoma"/>
            <family val="2"/>
          </rPr>
          <t>bad:  0 point
expected:    1 point
good: more than expectation: 2 points</t>
        </r>
        <r>
          <rPr>
            <b/>
            <sz val="12"/>
            <color indexed="48"/>
            <rFont val="Tahoma"/>
            <family val="2"/>
          </rPr>
          <t xml:space="preserve">
</t>
        </r>
        <r>
          <rPr>
            <sz val="12"/>
            <color indexed="20"/>
            <rFont val="Tahoma"/>
            <family val="2"/>
          </rPr>
          <t xml:space="preserve">Factors related to how the defect was produced:
WHY HAPPENS THIS TIME &amp; NO OTHER TIME?
</t>
        </r>
        <r>
          <rPr>
            <sz val="12"/>
            <color indexed="10"/>
            <rFont val="Tahoma"/>
            <family val="2"/>
          </rPr>
          <t>- DO NOT write words like "probably, maybe, could be, possible…."</t>
        </r>
        <r>
          <rPr>
            <sz val="12"/>
            <color indexed="20"/>
            <rFont val="Tahoma"/>
            <family val="2"/>
          </rPr>
          <t xml:space="preserve">
- Are the factors validated logical?
- Look for the evidence linked to the difference between good and bad parts.
Is there evidence that the factors have been "tested" as part of the confirmation.
- Does the analysis show why the actual number of parts rejected and why is it occurred this time?
</t>
        </r>
        <r>
          <rPr>
            <b/>
            <sz val="12"/>
            <color indexed="20"/>
            <rFont val="Tahoma"/>
            <family val="2"/>
          </rPr>
          <t>HINT</t>
        </r>
        <r>
          <rPr>
            <sz val="12"/>
            <color indexed="20"/>
            <rFont val="Tahoma"/>
            <family val="2"/>
          </rPr>
          <t xml:space="preserve">
Attach to 8D: Pictures, video,s measuring reports, sub supplier info's</t>
        </r>
      </text>
    </comment>
    <comment ref="M17" authorId="3" shapeId="0" xr:uid="{00000000-0006-0000-0100-000012000000}">
      <text>
        <r>
          <rPr>
            <b/>
            <sz val="12"/>
            <color indexed="48"/>
            <rFont val="Tahoma"/>
            <family val="2"/>
          </rPr>
          <t>D5.2</t>
        </r>
        <r>
          <rPr>
            <sz val="12"/>
            <color indexed="81"/>
            <rFont val="Tahoma"/>
            <family val="2"/>
          </rPr>
          <t xml:space="preserve"> List up each validated root causes with Occ1, Occ2, etc. Validated root causes should come from factor investigation + 5 Why's</t>
        </r>
      </text>
    </comment>
    <comment ref="R17" authorId="0" shapeId="0" xr:uid="{00000000-0006-0000-0100-000013000000}">
      <text>
        <r>
          <rPr>
            <b/>
            <sz val="12"/>
            <color indexed="48"/>
            <rFont val="Tahoma"/>
            <family val="2"/>
          </rPr>
          <t xml:space="preserve">D7 </t>
        </r>
        <r>
          <rPr>
            <b/>
            <u/>
            <sz val="12"/>
            <color indexed="81"/>
            <rFont val="Tahoma"/>
            <family val="2"/>
          </rPr>
          <t xml:space="preserve">evaluation:
</t>
        </r>
        <r>
          <rPr>
            <b/>
            <sz val="12"/>
            <color indexed="81"/>
            <rFont val="Tahoma"/>
            <family val="2"/>
          </rPr>
          <t xml:space="preserve">bad:  0 point </t>
        </r>
        <r>
          <rPr>
            <sz val="12"/>
            <color indexed="81"/>
            <rFont val="Tahoma"/>
            <family val="2"/>
          </rPr>
          <t>(</t>
        </r>
        <r>
          <rPr>
            <sz val="12"/>
            <color indexed="61"/>
            <rFont val="Tahoma"/>
            <family val="2"/>
          </rPr>
          <t xml:space="preserve"> no data filled in the worksheet "Statistik (D3-D7)")</t>
        </r>
        <r>
          <rPr>
            <b/>
            <sz val="12"/>
            <color indexed="81"/>
            <rFont val="Tahoma"/>
            <family val="2"/>
          </rPr>
          <t xml:space="preserve">
expected:    1 point
more than expectation: 2 points (</t>
        </r>
        <r>
          <rPr>
            <sz val="12"/>
            <color indexed="61"/>
            <rFont val="Tahoma"/>
            <family val="2"/>
          </rPr>
          <t>racking chart continuously updated until the 8D-file was closed; countermeasures are effective )
- Tracking chart evidence should confirm countermeasure effectiveness.
- No reoccurrence at the customer. An internal Q-Wall verified the effectivess of the End of Line inspection.</t>
        </r>
      </text>
    </comment>
    <comment ref="S17" authorId="0" shapeId="0" xr:uid="{00000000-0006-0000-0100-000014000000}">
      <text>
        <r>
          <rPr>
            <sz val="12"/>
            <color indexed="61"/>
            <rFont val="Tahoma"/>
            <family val="2"/>
          </rPr>
          <t xml:space="preserve">Past here the tracking chart of defects (customer, internal), by manufacturing date, showing the implementation date of each containment and corrective action with its individual impact.
</t>
        </r>
        <r>
          <rPr>
            <sz val="12"/>
            <color indexed="10"/>
            <rFont val="Tahoma"/>
            <family val="2"/>
          </rPr>
          <t>The tracking chart is generated automatically if the worksheet "Statistik (D3-D7)" is filled!</t>
        </r>
        <r>
          <rPr>
            <sz val="8"/>
            <color indexed="81"/>
            <rFont val="Tahoma"/>
            <family val="2"/>
          </rPr>
          <t xml:space="preserve">
</t>
        </r>
        <r>
          <rPr>
            <sz val="14"/>
            <color indexed="10"/>
            <rFont val="Tahoma"/>
            <family val="2"/>
          </rPr>
          <t xml:space="preserve">
</t>
        </r>
      </text>
    </comment>
    <comment ref="B19" authorId="0" shapeId="0" xr:uid="{00000000-0006-0000-0100-000015000000}">
      <text>
        <r>
          <rPr>
            <b/>
            <sz val="12"/>
            <color indexed="48"/>
            <rFont val="Tahoma"/>
            <family val="2"/>
          </rPr>
          <t xml:space="preserve">D2.3 </t>
        </r>
        <r>
          <rPr>
            <sz val="12"/>
            <color indexed="81"/>
            <rFont val="Tahoma"/>
            <family val="2"/>
          </rPr>
          <t xml:space="preserve">How many potentially affected parts were delivered before the problem was detected?
Can the scope of the defect be reduced to a specific delivery / charge?
</t>
        </r>
      </text>
    </comment>
    <comment ref="B22" authorId="0" shapeId="0" xr:uid="{00000000-0006-0000-0100-000016000000}">
      <text>
        <r>
          <rPr>
            <b/>
            <sz val="12"/>
            <color indexed="81"/>
            <rFont val="Tahoma"/>
            <family val="2"/>
          </rPr>
          <t xml:space="preserve">
</t>
        </r>
        <r>
          <rPr>
            <b/>
            <u/>
            <sz val="12"/>
            <color indexed="48"/>
            <rFont val="Tahoma"/>
            <family val="2"/>
          </rPr>
          <t xml:space="preserve">D3.1 </t>
        </r>
        <r>
          <rPr>
            <b/>
            <u/>
            <sz val="12"/>
            <color indexed="81"/>
            <rFont val="Tahoma"/>
            <family val="2"/>
          </rPr>
          <t xml:space="preserve">evaluation:
</t>
        </r>
        <r>
          <rPr>
            <b/>
            <sz val="12"/>
            <color indexed="81"/>
            <rFont val="Tahoma"/>
            <family val="2"/>
          </rPr>
          <t xml:space="preserve">bad:  0 point
expected:    1 point
more than expectation: 2 points </t>
        </r>
        <r>
          <rPr>
            <sz val="12"/>
            <color indexed="81"/>
            <rFont val="Tahoma"/>
            <family val="2"/>
          </rPr>
          <t>(</t>
        </r>
        <r>
          <rPr>
            <sz val="12"/>
            <color indexed="61"/>
            <rFont val="Tahoma"/>
            <family val="2"/>
          </rPr>
          <t xml:space="preserve"> full description of containment action; clear definition of Clean Point)</t>
        </r>
        <r>
          <rPr>
            <sz val="12"/>
            <color indexed="81"/>
            <rFont val="Tahoma"/>
            <family val="2"/>
          </rPr>
          <t xml:space="preserve">
</t>
        </r>
        <r>
          <rPr>
            <b/>
            <sz val="12"/>
            <color indexed="81"/>
            <rFont val="Tahoma"/>
            <family val="2"/>
          </rPr>
          <t xml:space="preserve">
</t>
        </r>
        <r>
          <rPr>
            <sz val="12"/>
            <color indexed="61"/>
            <rFont val="Tahoma"/>
            <family val="2"/>
          </rPr>
          <t xml:space="preserve">- Was the containment action described in detail and was a working instruction created?  </t>
        </r>
        <r>
          <rPr>
            <b/>
            <sz val="12"/>
            <color indexed="61"/>
            <rFont val="Tahoma"/>
            <family val="2"/>
          </rPr>
          <t xml:space="preserve">
</t>
        </r>
        <r>
          <rPr>
            <sz val="12"/>
            <color indexed="61"/>
            <rFont val="Tahoma"/>
            <family val="2"/>
          </rPr>
          <t xml:space="preserve">
- Is the real data available?  During sorting look for the maximum amount of data collected to help define the problem?
- Have actions been taken to protect the customer on similar products?</t>
        </r>
      </text>
    </comment>
    <comment ref="I22" authorId="0" shapeId="0" xr:uid="{00000000-0006-0000-0100-000017000000}">
      <text>
        <r>
          <rPr>
            <b/>
            <sz val="12"/>
            <color indexed="81"/>
            <rFont val="Tahoma"/>
            <family val="2"/>
          </rPr>
          <t>Especially in case of mandated suppliers:</t>
        </r>
        <r>
          <rPr>
            <sz val="12"/>
            <color indexed="81"/>
            <rFont val="Tahoma"/>
            <family val="2"/>
          </rPr>
          <t xml:space="preserve">
Need to inform Customer? And if yes,  Customer informed?
Muss der Kunde informiert werden? Falls ja: Wurde der Kunde informiert?
Faut il informer le client final? Et si oui, est ce fait?
Tenemos aue informar al cliente final? Sen caso afirmativo, fue echo?
</t>
        </r>
      </text>
    </comment>
    <comment ref="G24" authorId="0" shapeId="0" xr:uid="{00000000-0006-0000-0100-000018000000}">
      <text>
        <r>
          <rPr>
            <sz val="12"/>
            <color indexed="81"/>
            <rFont val="Tahoma"/>
            <family val="2"/>
          </rPr>
          <t xml:space="preserve">
</t>
        </r>
        <r>
          <rPr>
            <b/>
            <sz val="12"/>
            <color indexed="48"/>
            <rFont val="Tahoma"/>
            <family val="2"/>
          </rPr>
          <t>D3.2</t>
        </r>
        <r>
          <rPr>
            <sz val="12"/>
            <color indexed="81"/>
            <rFont val="Tahoma"/>
            <family val="2"/>
          </rPr>
          <t xml:space="preserve"> </t>
        </r>
        <r>
          <rPr>
            <sz val="12"/>
            <color indexed="61"/>
            <rFont val="Tahoma"/>
            <family val="2"/>
          </rPr>
          <t>How are the parts checked?
How are the ok-parts marked?</t>
        </r>
      </text>
    </comment>
    <comment ref="G25" authorId="0" shapeId="0" xr:uid="{00000000-0006-0000-0100-000019000000}">
      <text>
        <r>
          <rPr>
            <sz val="8"/>
            <color indexed="81"/>
            <rFont val="Tahoma"/>
            <family val="2"/>
          </rPr>
          <t xml:space="preserve">
</t>
        </r>
        <r>
          <rPr>
            <b/>
            <sz val="12"/>
            <color indexed="48"/>
            <rFont val="Tahoma"/>
            <family val="2"/>
          </rPr>
          <t>D3.2</t>
        </r>
        <r>
          <rPr>
            <sz val="12"/>
            <color indexed="81"/>
            <rFont val="Tahoma"/>
            <family val="2"/>
          </rPr>
          <t xml:space="preserve"> </t>
        </r>
        <r>
          <rPr>
            <sz val="12"/>
            <color indexed="61"/>
            <rFont val="Tahoma"/>
            <family val="2"/>
          </rPr>
          <t>How are the parts checked?
How are the ok-parts marked?</t>
        </r>
      </text>
    </comment>
    <comment ref="G26" authorId="0" shapeId="0" xr:uid="{00000000-0006-0000-0100-00001A000000}">
      <text>
        <r>
          <rPr>
            <b/>
            <sz val="12"/>
            <color indexed="48"/>
            <rFont val="Tahoma"/>
            <family val="2"/>
          </rPr>
          <t>D3.2</t>
        </r>
        <r>
          <rPr>
            <sz val="12"/>
            <color indexed="61"/>
            <rFont val="Tahoma"/>
            <family val="2"/>
          </rPr>
          <t xml:space="preserve"> How are the parts checked?
How are the ok-parts marked?</t>
        </r>
      </text>
    </comment>
    <comment ref="R26" authorId="0" shapeId="0" xr:uid="{00000000-0006-0000-0100-00001B000000}">
      <text>
        <r>
          <rPr>
            <b/>
            <sz val="12"/>
            <color indexed="48"/>
            <rFont val="Tahoma"/>
            <family val="2"/>
          </rPr>
          <t>D8</t>
        </r>
        <r>
          <rPr>
            <b/>
            <u/>
            <sz val="12"/>
            <color indexed="81"/>
            <rFont val="Tahoma"/>
            <family val="2"/>
          </rPr>
          <t xml:space="preserve"> evaluation:
</t>
        </r>
        <r>
          <rPr>
            <b/>
            <sz val="12"/>
            <color indexed="81"/>
            <rFont val="Tahoma"/>
            <family val="2"/>
          </rPr>
          <t xml:space="preserve"> bad:  0 point 
 expected:    1 point
 more than expectation: 2 points
FMEA not updated: </t>
        </r>
        <r>
          <rPr>
            <b/>
            <sz val="12"/>
            <color indexed="10"/>
            <rFont val="Tahoma"/>
            <family val="2"/>
          </rPr>
          <t xml:space="preserve">-2 points
</t>
        </r>
        <r>
          <rPr>
            <sz val="12"/>
            <color indexed="61"/>
            <rFont val="Tahoma"/>
            <family val="2"/>
          </rPr>
          <t>- Was a clear learning potential identified?
- Was it used to improve new products?
- Has a standard or norm been created?
- Has FMEA been updated?</t>
        </r>
      </text>
    </comment>
    <comment ref="I27" authorId="0" shapeId="0" xr:uid="{00000000-0006-0000-0100-00001C000000}">
      <text>
        <r>
          <rPr>
            <b/>
            <sz val="12"/>
            <color indexed="48"/>
            <rFont val="Tahoma"/>
            <family val="2"/>
          </rPr>
          <t>D3.3</t>
        </r>
        <r>
          <rPr>
            <sz val="12"/>
            <color indexed="61"/>
            <rFont val="Tahoma"/>
            <family val="2"/>
          </rPr>
          <t xml:space="preserve"> Identification of first part guaranteed OK: traceability number / batch number, labeling, sequence number</t>
        </r>
      </text>
    </comment>
    <comment ref="U32" authorId="0" shapeId="0" xr:uid="{00000000-0006-0000-0100-00001D000000}">
      <text>
        <r>
          <rPr>
            <sz val="12"/>
            <color indexed="81"/>
            <rFont val="Tahoma"/>
            <family val="2"/>
          </rPr>
          <t>Risk evaluation acc. FMEA Forth Edition (AIAG) or VDA Band 4.</t>
        </r>
        <r>
          <rPr>
            <b/>
            <u/>
            <sz val="12"/>
            <color indexed="81"/>
            <rFont val="Tahoma"/>
            <family val="2"/>
          </rPr>
          <t xml:space="preserve">
Bedeutung / Severity:</t>
        </r>
        <r>
          <rPr>
            <b/>
            <sz val="12"/>
            <color indexed="81"/>
            <rFont val="Tahoma"/>
            <family val="2"/>
          </rPr>
          <t xml:space="preserve">
</t>
        </r>
        <r>
          <rPr>
            <sz val="12"/>
            <color indexed="81"/>
            <rFont val="Tahoma"/>
            <family val="2"/>
          </rPr>
          <t>10 - Non compliance with government regulations
9 -  Non compliance with government regulations possible
8 -  Total loss of primary function
7 -  Customer very dissatisfied: important functions limited
6  - Functions inoperable: Customer dissatisfied
5  - Functions operable at a reduced level of performance: customer ist somewhat dissatisfied
4 - Defect noticed by most customers
3 - Defect noticed by 50% of customers
2  - Defect noticed by a few customers
1  -  No discernible effect. Defect only recognized by professionals.:</t>
        </r>
      </text>
    </comment>
    <comment ref="V32" authorId="0" shapeId="0" xr:uid="{00000000-0006-0000-0100-00001E000000}">
      <text>
        <r>
          <rPr>
            <sz val="12"/>
            <color indexed="81"/>
            <rFont val="Tahoma"/>
            <family val="2"/>
          </rPr>
          <t>Risk evaluation acc. FMEA Forth Edition (AIAG) or VDA Band 4.</t>
        </r>
        <r>
          <rPr>
            <b/>
            <u/>
            <sz val="12"/>
            <color indexed="81"/>
            <rFont val="Tahoma"/>
            <family val="2"/>
          </rPr>
          <t xml:space="preserve">
Auftretenswahrscheinlichkeit / Occurence:</t>
        </r>
        <r>
          <rPr>
            <sz val="12"/>
            <color indexed="81"/>
            <rFont val="Tahoma"/>
            <family val="2"/>
          </rPr>
          <t xml:space="preserve">
10 - Permanent  failure is almost certain
9  - Very frequent occurrence of the failure
8  - Large amount of failures certain
7  - Failures occur repeatedly; problematic amount
6  - Failures occur repeatedly; occasional
5  - Occasional failures but not in major proportions
4  - Few failures occur
3  - Low failure rate
2  - Very few failures occur
1  - Failure is unlikely</t>
        </r>
      </text>
    </comment>
    <comment ref="W32" authorId="0" shapeId="0" xr:uid="{00000000-0006-0000-0100-00001F000000}">
      <text>
        <r>
          <rPr>
            <sz val="12"/>
            <color indexed="81"/>
            <rFont val="Tahoma"/>
            <family val="2"/>
          </rPr>
          <t>Risk evaluation acc. FMEA Forth Edition (AIAG) or VDA Band 4.</t>
        </r>
        <r>
          <rPr>
            <b/>
            <u/>
            <sz val="12"/>
            <color indexed="81"/>
            <rFont val="Tahoma"/>
            <family val="2"/>
          </rPr>
          <t xml:space="preserve">
Entdeckungswahrscheinlichkeit / Detection:</t>
        </r>
        <r>
          <rPr>
            <b/>
            <sz val="12"/>
            <color indexed="81"/>
            <rFont val="Tahoma"/>
            <family val="2"/>
          </rPr>
          <t xml:space="preserve">
</t>
        </r>
        <r>
          <rPr>
            <sz val="12"/>
            <color indexed="81"/>
            <rFont val="Tahoma"/>
            <family val="2"/>
          </rPr>
          <t>10 - (p(E) &lt; 90%)  there is no test measure for this failure
9  - (p(E) = 90%)   very remote chance, that the test measure will 
       detect the failure
8  - Remote chance that the test measure will detect the failure
7  - Very low chance to detect the failure
6  - Low chance to detect the failure
5  - Moderate chance to detect the failure
4  - (p(E) = 99,7%) moderately high chance to detect the failure
3  - High chance to detect the failure
2  - Very high chance to detect the failure
1  -  Failure detection is almost certain</t>
        </r>
      </text>
    </comment>
    <comment ref="T33" authorId="0" shapeId="0" xr:uid="{00000000-0006-0000-0100-000020000000}">
      <text>
        <r>
          <rPr>
            <b/>
            <sz val="16"/>
            <color indexed="61"/>
            <rFont val="Tahoma"/>
            <family val="2"/>
          </rPr>
          <t>Please fill in the values for S/O/D!
The RPN is automatically generated.</t>
        </r>
      </text>
    </comment>
    <comment ref="U33" authorId="2" shapeId="0" xr:uid="{00000000-0006-0000-0100-000021000000}">
      <text>
        <r>
          <rPr>
            <b/>
            <sz val="12"/>
            <color indexed="81"/>
            <rFont val="Tahoma"/>
            <family val="2"/>
          </rPr>
          <t>SEVERITY</t>
        </r>
        <r>
          <rPr>
            <sz val="12"/>
            <color indexed="81"/>
            <rFont val="Tahoma"/>
            <family val="2"/>
          </rPr>
          <t xml:space="preserve">
</t>
        </r>
      </text>
    </comment>
    <comment ref="V33" authorId="2" shapeId="0" xr:uid="{00000000-0006-0000-0100-000022000000}">
      <text>
        <r>
          <rPr>
            <b/>
            <sz val="12"/>
            <color indexed="81"/>
            <rFont val="Tahoma"/>
            <family val="2"/>
          </rPr>
          <t>OCCURENCE</t>
        </r>
        <r>
          <rPr>
            <sz val="12"/>
            <color indexed="81"/>
            <rFont val="Tahoma"/>
            <family val="2"/>
          </rPr>
          <t xml:space="preserve">
</t>
        </r>
      </text>
    </comment>
    <comment ref="W33" authorId="2" shapeId="0" xr:uid="{00000000-0006-0000-0100-000023000000}">
      <text>
        <r>
          <rPr>
            <b/>
            <sz val="12"/>
            <color indexed="81"/>
            <rFont val="Tahoma"/>
            <family val="2"/>
          </rPr>
          <t>DETECTION</t>
        </r>
      </text>
    </comment>
    <comment ref="R35" authorId="0" shapeId="0" xr:uid="{00000000-0006-0000-0100-000024000000}">
      <text>
        <r>
          <rPr>
            <b/>
            <sz val="14"/>
            <color indexed="10"/>
            <rFont val="Tahoma"/>
            <family val="2"/>
          </rPr>
          <t xml:space="preserve">&lt; 70% </t>
        </r>
        <r>
          <rPr>
            <sz val="14"/>
            <color indexed="10"/>
            <rFont val="Tahoma"/>
            <family val="2"/>
          </rPr>
          <t xml:space="preserve">    Not in line with expectations. / Entspricht nicht der Erwartungshaltung 
</t>
        </r>
        <r>
          <rPr>
            <sz val="14"/>
            <color indexed="81"/>
            <rFont val="Tahoma"/>
            <family val="2"/>
          </rPr>
          <t xml:space="preserve">
</t>
        </r>
        <r>
          <rPr>
            <b/>
            <sz val="14"/>
            <color indexed="51"/>
            <rFont val="Tahoma"/>
            <family val="2"/>
          </rPr>
          <t xml:space="preserve">70-79% </t>
        </r>
        <r>
          <rPr>
            <sz val="14"/>
            <color indexed="51"/>
            <rFont val="Tahoma"/>
            <family val="2"/>
          </rPr>
          <t xml:space="preserve"> Result to be improved / Optimierungspotenzial vorhanden 
</t>
        </r>
        <r>
          <rPr>
            <sz val="14"/>
            <color indexed="81"/>
            <rFont val="Tahoma"/>
            <family val="2"/>
          </rPr>
          <t xml:space="preserve">
</t>
        </r>
        <r>
          <rPr>
            <b/>
            <sz val="14"/>
            <color indexed="57"/>
            <rFont val="Tahoma"/>
            <family val="2"/>
          </rPr>
          <t xml:space="preserve">&gt; 80% </t>
        </r>
        <r>
          <rPr>
            <sz val="14"/>
            <color indexed="57"/>
            <rFont val="Tahoma"/>
            <family val="2"/>
          </rPr>
          <t xml:space="preserve">    Accepted / Akzeptiert /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ehrenpfo</author>
  </authors>
  <commentList>
    <comment ref="B3" authorId="0" shapeId="0" xr:uid="{00000000-0006-0000-0900-000001000000}">
      <text>
        <r>
          <rPr>
            <sz val="8"/>
            <color indexed="81"/>
            <rFont val="Tahoma"/>
            <family val="2"/>
          </rPr>
          <t>Punkte D1</t>
        </r>
      </text>
    </comment>
    <comment ref="B4" authorId="0" shapeId="0" xr:uid="{00000000-0006-0000-0900-000002000000}">
      <text>
        <r>
          <rPr>
            <sz val="8"/>
            <color indexed="81"/>
            <rFont val="Tahoma"/>
            <family val="2"/>
          </rPr>
          <t>Punkte D2</t>
        </r>
      </text>
    </comment>
    <comment ref="B5" authorId="0" shapeId="0" xr:uid="{00000000-0006-0000-0900-000003000000}">
      <text>
        <r>
          <rPr>
            <sz val="8"/>
            <color indexed="81"/>
            <rFont val="Tahoma"/>
            <family val="2"/>
          </rPr>
          <t>Punkte D3</t>
        </r>
      </text>
    </comment>
    <comment ref="C5" authorId="0" shapeId="0" xr:uid="{00000000-0006-0000-0900-000004000000}">
      <text>
        <r>
          <rPr>
            <b/>
            <sz val="8"/>
            <color indexed="81"/>
            <rFont val="Tahoma"/>
            <family val="2"/>
          </rPr>
          <t>ehrenpfo:</t>
        </r>
        <r>
          <rPr>
            <sz val="8"/>
            <color indexed="81"/>
            <rFont val="Tahoma"/>
            <family val="2"/>
          </rPr>
          <t xml:space="preserve">
D3&amp;D6&amp;D8 innerhalb vorgegebener Termine = 1 Punkt!</t>
        </r>
      </text>
    </comment>
    <comment ref="B6" authorId="0" shapeId="0" xr:uid="{00000000-0006-0000-0900-000005000000}">
      <text>
        <r>
          <rPr>
            <sz val="8"/>
            <color indexed="81"/>
            <rFont val="Tahoma"/>
            <family val="2"/>
          </rPr>
          <t>Punkte D4</t>
        </r>
      </text>
    </comment>
    <comment ref="B7" authorId="0" shapeId="0" xr:uid="{00000000-0006-0000-0900-000006000000}">
      <text>
        <r>
          <rPr>
            <sz val="8"/>
            <color indexed="81"/>
            <rFont val="Tahoma"/>
            <family val="2"/>
          </rPr>
          <t>Punkte D5</t>
        </r>
      </text>
    </comment>
    <comment ref="B8" authorId="0" shapeId="0" xr:uid="{00000000-0006-0000-0900-000007000000}">
      <text>
        <r>
          <rPr>
            <sz val="8"/>
            <color indexed="81"/>
            <rFont val="Tahoma"/>
            <family val="2"/>
          </rPr>
          <t>Punkte D6</t>
        </r>
      </text>
    </comment>
    <comment ref="C8" authorId="0" shapeId="0" xr:uid="{00000000-0006-0000-0900-000008000000}">
      <text>
        <r>
          <rPr>
            <b/>
            <sz val="8"/>
            <color indexed="81"/>
            <rFont val="Tahoma"/>
            <family val="2"/>
          </rPr>
          <t>ehrenpfo:</t>
        </r>
        <r>
          <rPr>
            <sz val="8"/>
            <color indexed="81"/>
            <rFont val="Tahoma"/>
            <family val="2"/>
          </rPr>
          <t xml:space="preserve">
D3 innerhalb 2 Stunden = 1 PUNKT</t>
        </r>
      </text>
    </comment>
    <comment ref="B9" authorId="0" shapeId="0" xr:uid="{00000000-0006-0000-0900-000009000000}">
      <text>
        <r>
          <rPr>
            <sz val="8"/>
            <color indexed="81"/>
            <rFont val="Tahoma"/>
            <family val="2"/>
          </rPr>
          <t>Punkte D7</t>
        </r>
      </text>
    </comment>
    <comment ref="B10" authorId="0" shapeId="0" xr:uid="{00000000-0006-0000-0900-00000A000000}">
      <text>
        <r>
          <rPr>
            <sz val="8"/>
            <color indexed="81"/>
            <rFont val="Tahoma"/>
            <family val="2"/>
          </rPr>
          <t>Punkte D8</t>
        </r>
      </text>
    </comment>
    <comment ref="C10" authorId="0" shapeId="0" xr:uid="{00000000-0006-0000-0900-00000B000000}">
      <text>
        <r>
          <rPr>
            <b/>
            <sz val="8"/>
            <color indexed="81"/>
            <rFont val="Tahoma"/>
            <family val="2"/>
          </rPr>
          <t>wenn FMEA nicht befüllt  -2 Punkte</t>
        </r>
        <r>
          <rPr>
            <sz val="8"/>
            <color indexed="81"/>
            <rFont val="Tahoma"/>
            <family val="2"/>
          </rPr>
          <t xml:space="preserve">
</t>
        </r>
      </text>
    </comment>
    <comment ref="E24" authorId="0" shapeId="0" xr:uid="{00000000-0006-0000-0900-00000C000000}">
      <text>
        <r>
          <rPr>
            <sz val="8"/>
            <color indexed="81"/>
            <rFont val="Tahoma"/>
            <family val="2"/>
          </rPr>
          <t>Zusatzfelder für Leipzig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maniae</author>
  </authors>
  <commentList>
    <comment ref="B18" authorId="0" shapeId="0" xr:uid="{00000000-0006-0000-0A00-000001000000}">
      <text>
        <r>
          <rPr>
            <b/>
            <sz val="8"/>
            <color indexed="81"/>
            <rFont val="Tahoma"/>
            <family val="2"/>
          </rPr>
          <t>What is the tests defined to estimate the real criticity ?
What are the actions taked to estimate occurrence ?</t>
        </r>
      </text>
    </comment>
    <comment ref="B35" authorId="0" shapeId="0" xr:uid="{00000000-0006-0000-0A00-000002000000}">
      <text>
        <r>
          <rPr>
            <sz val="10"/>
            <color indexed="81"/>
            <rFont val="Tahoma"/>
            <family val="2"/>
          </rPr>
          <t xml:space="preserve">To explain the scenario of defect appearance as understood at this time.
</t>
        </r>
      </text>
    </comment>
  </commentList>
</comments>
</file>

<file path=xl/sharedStrings.xml><?xml version="1.0" encoding="utf-8"?>
<sst xmlns="http://schemas.openxmlformats.org/spreadsheetml/2006/main" count="1383" uniqueCount="923">
  <si>
    <t>avaliação:
mau:  0 pontos
esperado:    1 ponto
bom: mais do que a expectativa: 2 pontos
Factores relacionados como o defeito foi produzido:
PORQUE ACONTECE AGORA &amp; NÃO OUTRA ALTURA?
-  Os factores validados são lógicos?
- Procurar as evidências ligadas à diferença entre boa e má peça .
Existe evidência que os factores tem sido testados como parte da confirmação.
- A análise mostra porque o número real de peças rejeitadas e porque é ocorrido esta vez?</t>
  </si>
  <si>
    <t xml:space="preserve">Listar cada causa raíz validada com Ocu 1, Ocu 2, etc.  Causa raíz validadas devem vir do factor investigação + 5 Porquês? </t>
  </si>
  <si>
    <t xml:space="preserve">avaliação:
mau:  0 pontos
esperado:    1 ponto
bom: mais do que a expectativa: 2 pontos
Status medidas defensivas está claro:
                 -25% / 50% / 75% / 100%
                  -Implementado &amp; verificado
- Ajustando os parâmetros do processo o problema pode ser reproduzido.
- As medidas defensivas devem envolver mudanças ao produto ou ao processo.
Nova formação do operador não é uma ação a longo prazo!
HINT: Não começar D6 sem ter completado D4 e D5 </t>
  </si>
  <si>
    <t>Mostrar o relacionamento entre causa raíz identificada no D4 &amp; D5</t>
  </si>
  <si>
    <t xml:space="preserve">
avaliação:
mau:  0 pontos ( nenhuns dados preenchidos na folha de cálculo "Estatística (D3-D7) " 
esperado:    1 ponto
mais do que a expectativa: 2 pontos  (seguimento eficácia continuamente actualizado até o 8D fechado;  as medidas defensivas são eficazes )
- Seguir a evidência do gráfico deve confirmar a eficácia das medidas defensivas.
- Nenhuma reocurrência no cliente. Um muro qualidade interno verificou a eficácia do controlo final da linha.</t>
  </si>
  <si>
    <t xml:space="preserve">avaliação:
 mau:  0 pontos
 esperado:    1 ponto
 mais do que a expectativa: 2 pontos
FMEA não actualizado: -2 pontos
- Uma potencial aprendizagem foi identificada? 
- Foi usada para melhorar novos produtos?
-  Um standard ou norma tem sido criado? 
-  FMEA tem sido actualizado? </t>
  </si>
  <si>
    <t>Data / Czas
- Wdrożenie działań</t>
  </si>
  <si>
    <t>Zakończenie</t>
  </si>
  <si>
    <t xml:space="preserve">           2. Akcje natychmiastowe</t>
  </si>
  <si>
    <t>Utworzone przez:</t>
  </si>
  <si>
    <t>Osoba kontaktowa (dostawca):</t>
  </si>
  <si>
    <t>Data Otwarcia:</t>
  </si>
  <si>
    <t>Ostatnia aktualizacja:</t>
  </si>
  <si>
    <t>D4 - Przyczyny Źródłowe Niewykrycia</t>
  </si>
  <si>
    <t>D5 - Przyczyny Żródłowe Wystąpienia</t>
  </si>
  <si>
    <t>D6 - Działania Długoterminowe / Zapobiegawcze</t>
  </si>
  <si>
    <t>Przyczyna Źródłowa</t>
  </si>
  <si>
    <t>Akcja Korygująca</t>
  </si>
  <si>
    <t>Odpowiedzialny</t>
  </si>
  <si>
    <t>D7 - Efektywność/Śledzenie</t>
  </si>
  <si>
    <t>Ponowne wystąpienie defektu / działania natychmiastowe / korygujące nieskuteczne</t>
  </si>
  <si>
    <t>FMEA, control plan, maintenance plan, dokumenty stanowiskowe, częstotliwość audytów, próbki graniczne, baza wiedzy / standard wyrobu lub procesu, wyciągnięte wnioski…</t>
  </si>
  <si>
    <t>Akcja</t>
  </si>
  <si>
    <t xml:space="preserve">    8D-Ocena [%]</t>
  </si>
  <si>
    <t>Ponowne wystąpienie</t>
  </si>
  <si>
    <t>Numer QP
Alert</t>
  </si>
  <si>
    <t>Combien de pièces sont concernées ?</t>
  </si>
  <si>
    <t xml:space="preserve">Date / Heure de l'implémentation </t>
  </si>
  <si>
    <t>La date de début est liée à la feuille de calcul "Statistics D3+D7", SVP remplissez dd.mm.yyyy</t>
  </si>
  <si>
    <t>Evaluation
Mauvaise: 0 point 
En accord avec les attentes : 1 point (risque sur d’autres pièces identifié)
Très bonne: 2 points (risque sur d’autres pièces et/ou de garanti identifié)
- Y a-t-il un risque potentiel sur d’autres produits ou d’autres procédés?
- D'autres usines clientes doivent elles être informées?</t>
  </si>
  <si>
    <t>Une fois la liste dressée de chacune des causes racines validées (avec Occ1, OCC2, etc.) ces dernières doivent être le fruit d’une enquête de facteurs + 5Whys.</t>
  </si>
  <si>
    <t>Nom du fournisseur</t>
  </si>
  <si>
    <t>Information Client</t>
  </si>
  <si>
    <t>Elabora una lista de causas raíces con Occ1, Occ2., etc. La validación de las causas raíz debe venir de una investigación de los factores + 5 Por qué's</t>
  </si>
  <si>
    <r>
      <t xml:space="preserve">L’évaluation:
 mauvaise: 0 point
</t>
    </r>
    <r>
      <rPr>
        <sz val="10"/>
        <color indexed="10"/>
        <rFont val="Arial"/>
        <family val="2"/>
      </rPr>
      <t xml:space="preserve"> </t>
    </r>
    <r>
      <rPr>
        <sz val="10"/>
        <rFont val="Arial"/>
        <family val="2"/>
      </rPr>
      <t>objectifs</t>
    </r>
    <r>
      <rPr>
        <sz val="10"/>
        <rFont val="Arial"/>
        <family val="2"/>
      </rPr>
      <t xml:space="preserve"> atteints 1 point
 au de-là des attentes: 2 points
- Définition du problème du point de vue de Faurecia 
- Une définition claire de la différence entre les pièces bonnes et mauvaises est donnée
- Est/ n'est pas réalisé, le problème a-t-il été clairement défini? C’est à dire, pas de définition au sens large, ce qui permet de réduire le spectre des recherches.</t>
    </r>
  </si>
  <si>
    <t xml:space="preserve">Risque sur d’autres produits ou procédés ?
D'autres véhicules potentiellement concernés ?
Même gravité du défaut ?
D'autres usines doivent elles être prévenues ?
Comment peut on détecter le défaut ?
Volume potentiellement concerné ?
</t>
  </si>
  <si>
    <t>Letzte Aktualisierung:</t>
  </si>
  <si>
    <t>D1 - Opis Problemu: 5W+2H detekcja/wystąpienie</t>
  </si>
  <si>
    <t>Supplier name</t>
  </si>
  <si>
    <t>Wiederholungsfehler</t>
  </si>
  <si>
    <t>Criteria</t>
  </si>
  <si>
    <t>Evaluation</t>
  </si>
  <si>
    <t>Le défaut est réapparu dans l'usine cliente FAURECIA. Sécurisation/Actions correctives non efficaces.</t>
  </si>
  <si>
    <t xml:space="preserve">      Das Fehlermerkmal ist bei FAURECIA erneut aufgetreten ! Abstellmaßnahmen waren nicht wirksam! </t>
  </si>
  <si>
    <t xml:space="preserve"> Производственное предприятие клиента</t>
  </si>
  <si>
    <t>Серийное пр.</t>
  </si>
  <si>
    <t>Программа</t>
  </si>
  <si>
    <t>Логистика</t>
  </si>
  <si>
    <t>Поставщик</t>
  </si>
  <si>
    <t>Дата производства части</t>
  </si>
  <si>
    <t>Клиент</t>
  </si>
  <si>
    <t>Дата / Время
- Внедрение действий</t>
  </si>
  <si>
    <t xml:space="preserve"> Контактное (поставщик)лицо:</t>
  </si>
  <si>
    <t>Дата Открытия:</t>
  </si>
  <si>
    <t>Последняя актуализация:</t>
  </si>
  <si>
    <t xml:space="preserve">El defecto ha vuelto a aparecer en FAURECIA. Las acciones de contención/correctivas no han sido efectivas.
</t>
  </si>
  <si>
    <t xml:space="preserve">         The defect type reoccured at Faurecia customer plant. Containment/corrective actions were not effective.</t>
  </si>
  <si>
    <t>Fulfill D1</t>
  </si>
  <si>
    <t>Fulfill D2</t>
  </si>
  <si>
    <t>Fulfill D3 and Sheet Statistik</t>
  </si>
  <si>
    <t>Fulfill D7</t>
  </si>
  <si>
    <t>Fulfill D8</t>
  </si>
  <si>
    <t xml:space="preserve">Bewertung / evaluation:
schlecht / bad:  0 Punkte / points
gut/expected:    1 Punkt / point
- Problembeschreibung auf Faurecia Sicht
- Klare Definition der Unterschiede zwischen guten und schlechten Teilen
- Problembeschreibung anhand guter und schlechter Teile (Bilder)
- vollständige Angaben
- Wurde das Problem klar definiert, d.h. kein allgemeine Aussagen?
- IST/IST NICHT: Wurde der Problemumfang geklärt? Wurde der Problemumfang reduziert?  </t>
  </si>
  <si>
    <t xml:space="preserve">Bewertung 
schlecht :  0 Punkte 
gut:1 Punkt (gefährdete Produkte identifiziert)
sehr gut : 2 Punkte
Sind potentiell ähnlich gefährdete Produkte identifiziert und reportet? 
Wurden andere Werke/Kunden verständigt?
</t>
  </si>
  <si>
    <t>评价：
不佳：0分
达到期望：1分
超越期望：2分（临时措施的完整描述；清理点定义清晰）
-临时措施是否详细描述，是否创建了工作指导书？
-是否能够得到真实有效的数据？筛选期间寻找最大量的数据来帮助定义问题？
-是否采取措施来保护客户处相似的产品？</t>
    <phoneticPr fontId="14" type="noConversion"/>
  </si>
  <si>
    <t>产品如何检查的？
合格品如何标示?</t>
    <phoneticPr fontId="14" type="noConversion"/>
  </si>
  <si>
    <r>
      <rPr>
        <sz val="10"/>
        <rFont val="宋体"/>
        <charset val="134"/>
      </rPr>
      <t>评价：
不佳：</t>
    </r>
    <r>
      <rPr>
        <sz val="10"/>
        <rFont val="Arial"/>
        <family val="2"/>
      </rPr>
      <t>0</t>
    </r>
    <r>
      <rPr>
        <sz val="10"/>
        <rFont val="宋体"/>
        <charset val="134"/>
      </rPr>
      <t>分
达到期望：</t>
    </r>
    <r>
      <rPr>
        <sz val="10"/>
        <rFont val="Arial"/>
        <family val="2"/>
      </rPr>
      <t>1</t>
    </r>
    <r>
      <rPr>
        <sz val="10"/>
        <rFont val="宋体"/>
        <charset val="134"/>
      </rPr>
      <t>分
超越期望：</t>
    </r>
    <r>
      <rPr>
        <sz val="10"/>
        <rFont val="Arial"/>
        <family val="2"/>
      </rPr>
      <t>2</t>
    </r>
    <r>
      <rPr>
        <sz val="10"/>
        <rFont val="宋体"/>
        <charset val="134"/>
      </rPr>
      <t>分（临时措施的完整描述；清理点定义清晰）
为什么没有发现？
-为什么没有发现相关因素：
-确定的因素是否具有逻辑
-什么证据可以支持确认的因素
-工具：5Why;Gage R+R</t>
    </r>
  </si>
  <si>
    <r>
      <rPr>
        <sz val="10"/>
        <rFont val="宋体"/>
        <charset val="134"/>
      </rPr>
      <t>评价：
不佳：</t>
    </r>
    <r>
      <rPr>
        <sz val="10"/>
        <rFont val="Arial"/>
        <family val="2"/>
      </rPr>
      <t>0</t>
    </r>
    <r>
      <rPr>
        <sz val="10"/>
        <rFont val="宋体"/>
        <charset val="134"/>
      </rPr>
      <t>分
达到期望：</t>
    </r>
    <r>
      <rPr>
        <sz val="10"/>
        <rFont val="Arial"/>
        <family val="2"/>
      </rPr>
      <t>1</t>
    </r>
    <r>
      <rPr>
        <sz val="10"/>
        <rFont val="宋体"/>
        <charset val="134"/>
      </rPr>
      <t>分
超越期望：</t>
    </r>
    <r>
      <rPr>
        <sz val="10"/>
        <rFont val="Arial"/>
        <family val="2"/>
      </rPr>
      <t>2</t>
    </r>
    <r>
      <rPr>
        <sz val="10"/>
        <rFont val="宋体"/>
        <charset val="134"/>
      </rPr>
      <t xml:space="preserve">分（临时措施的完整描述；清理点定义清晰）
为什么缺陷会产生的相关因素：
为什么这次产生而其他时间不产生？
-所有确认的因素是否具有逻辑？
-寻找证据来联系合格和不合格产品的区别
是否有证据表明这些因素作为产品确认的一部分测试过？
-是否有分析为什么实际数量的产品被拒绝，为什么这次会发生？
</t>
    </r>
  </si>
  <si>
    <t>列出每个确认的根本原因，比如Occ1,Occ2等。根本性原因的确认需要来源于因素调查+5Why</t>
    <phoneticPr fontId="14" type="noConversion"/>
  </si>
  <si>
    <r>
      <rPr>
        <sz val="10"/>
        <rFont val="宋体"/>
        <charset val="134"/>
      </rPr>
      <t>评价：
不佳：</t>
    </r>
    <r>
      <rPr>
        <sz val="10"/>
        <rFont val="Arial"/>
        <family val="2"/>
      </rPr>
      <t>0</t>
    </r>
    <r>
      <rPr>
        <sz val="10"/>
        <rFont val="宋体"/>
        <charset val="134"/>
      </rPr>
      <t>分
达到期望：</t>
    </r>
    <r>
      <rPr>
        <sz val="10"/>
        <rFont val="Arial"/>
        <family val="2"/>
      </rPr>
      <t>1</t>
    </r>
    <r>
      <rPr>
        <sz val="10"/>
        <rFont val="宋体"/>
        <charset val="134"/>
      </rPr>
      <t>分
超越期望：</t>
    </r>
    <r>
      <rPr>
        <sz val="10"/>
        <rFont val="Arial"/>
        <family val="2"/>
      </rPr>
      <t>2</t>
    </r>
    <r>
      <rPr>
        <sz val="10"/>
        <rFont val="宋体"/>
        <charset val="134"/>
      </rPr>
      <t xml:space="preserve">分（临时措施的完整描述；清理点定义清晰）
对策状态是清楚的：
</t>
    </r>
    <r>
      <rPr>
        <sz val="10"/>
        <rFont val="Arial"/>
        <family val="2"/>
      </rPr>
      <t xml:space="preserve">-25% / 50% / 75% / 100%
</t>
    </r>
    <r>
      <rPr>
        <sz val="10"/>
        <rFont val="宋体"/>
        <charset val="134"/>
      </rPr>
      <t xml:space="preserve">已落实并检查
-通过调整过程参数，问题会重复产生。
-对策需要包含产品或者过程。
再次对操作员工进行培训是不够的！
</t>
    </r>
  </si>
  <si>
    <t>说明在D4&amp;D5中识别的根本原因的关系</t>
    <phoneticPr fontId="14" type="noConversion"/>
  </si>
  <si>
    <t xml:space="preserve">评价：
不佳：0分（在“Statistics（D3-D7）”页中没有填写数据）
达到期望：1分
超出期望：2分（跟踪图表在8D报告关闭前持续更新；对策是有效的）
-追踪图表证据应该证明对策是有效的
-问题没有重复发生在客户处。内部质量墙证实末道检验的有效性。
</t>
    <phoneticPr fontId="14" type="noConversion"/>
  </si>
  <si>
    <t xml:space="preserve">评价：
不佳：0分
达到期望：1分
超出期望：2分
FMEA没有更新：-2分
-是否识别出明确的学习潜力？
-经验教训是否用来改善新产品？
-是否建立了标准或者规范？
--FMEA是否已经更新？
</t>
    <phoneticPr fontId="14" type="noConversion"/>
  </si>
  <si>
    <t>Wer hat es entdeckt und 
verursacht ?</t>
  </si>
  <si>
    <t>How was it detected and created ?</t>
  </si>
  <si>
    <t>Comment cela a-t-il été détecté et créé</t>
  </si>
  <si>
    <t>Cómo fue detectado y creado?</t>
  </si>
  <si>
    <t>Como foi detectado ou criado?</t>
  </si>
  <si>
    <t>D1 - Problembeschreibung: 7W Fragetechnik Entdeckung und Auftreten des Problems</t>
  </si>
  <si>
    <t>Corrective action</t>
  </si>
  <si>
    <t>Abstellmaßnahme</t>
  </si>
  <si>
    <t>Wo entdeckt / aufgefallen?</t>
  </si>
  <si>
    <t>Wann passiert / produziert?</t>
  </si>
  <si>
    <t>Wie entdeckt und entstanden?</t>
  </si>
  <si>
    <t>Wie viele fehlerhafte Teile / verdächtigte Stückzahlen?</t>
  </si>
  <si>
    <t>Was ist das Problem? Skizze und Bild  des Fehlers (OK/NOK- Teil)</t>
  </si>
  <si>
    <t>Produktionsdatum</t>
  </si>
  <si>
    <t>Zeitpunkt i.O. Lieferung</t>
  </si>
  <si>
    <t>FMEA, Produktionslenkungsplan, Instandhaltungsplan, Arbeitsanweisungen, Prüffrequenzen, Grenzmuster, Wissensdatenbank, Produkt- oder Prozeßstandards, LESSON LEARNED …</t>
  </si>
  <si>
    <t>D4 - Gründe für die Nichtentdeckung des Fehlers</t>
  </si>
  <si>
    <t>Основан на требованиях к безопасности или требованиях регулируемых государством</t>
  </si>
  <si>
    <t>Риск рекламации по гарантии</t>
  </si>
  <si>
    <t>1. Сортировка по местоположению</t>
  </si>
  <si>
    <t>D4 – Основная причина необнаружения</t>
  </si>
  <si>
    <t>D8 – Извлеченные уроки</t>
  </si>
  <si>
    <t>Evaluación:
no satisfactorio:  0 puntos
 conforme a las expectativas : 1 punto
 excede las expectativas: 2 puntos
 - Definición del problema desde el punto de vista de Faurecia 
 - Definición clara de la diferencia entre lo bueno y lo malo
 - Utilizar las piezas buenas y malas para explicar el problema (fotos)
 - SI / NO: ¿Ha sido el problema definido de manera precisa, es decir, no en general? Se ha acotado el problema?</t>
  </si>
  <si>
    <t xml:space="preserve">La fecha de inicio está ligada a la hoja de cálculo "Statistik D3-D7", por favor rellene dd.mm.aaaa
</t>
  </si>
  <si>
    <t xml:space="preserve">Evaluación:
no satisfactorio: 0 puntos
conforme a las expectativas : 1 punto
excede espectativas: 2 puntos
- Existe riesgo potencial sobre otros productos u otros procesos? Han sido identificados y se ha informado?
- Otras plantas/clientes necesitan ser informados?
</t>
  </si>
  <si>
    <t xml:space="preserve">Cuántas piezas se han producido con el mismo problema potencial que fue detectado?
Podemos reducir la búsqueda a un número de envio específico?
</t>
  </si>
  <si>
    <t xml:space="preserve">Evaluación:
no satisfactorio:  0 puntos
conforme a las expectativas : 1 punto
excede las expectativas: 2 puntos
-La acción de contención se ha descrito en detalle y ha sido creada una instrucción de trabajo?
-La información (instrucciones o resultados?) de la seleccion está disponible? Hay datos reales disponibles? Durante la seleccion, se trata de recoger el máximo de información que ayude a definir mejor el problema?
-Se han tomado decisiones para proteger al cliente, o productos similares?
 </t>
  </si>
  <si>
    <t>Evaluación:
no satisfactoria:  0 puntos
conforme a las expectativas : 1 punto
excede las expectativas: 2 puntos
POR QUÉ NO SE HA DETECTADO
- Factores relativos a la falta de detección
- Son los factores validados lógicos?
- ¿Cuál es la evidencia que apoya a los factores elegidos?
- Herramientas: 5Why, R &amp; R</t>
  </si>
  <si>
    <t>Оценка:
плохо:  0 пунктов
ожидается: 1 Пункт
более чем ожидалось: 2 пункта (полное описание сдерживающих действий , четкое  определение момента исключения проблемы)
- Детально ли описаны сдерживающие мероприятия и созданы ли рабочие инструкции?
- Доступна ли реальная дата? Во время сортировки необходимо собрать максимальное количество информации, помгающей в определении проблемы?
- Предприняты ли меры для защиты потребителя побобных продуктов?</t>
  </si>
  <si>
    <t>Сколько деталей было проверено?
Сколько хороших деталей промаркировано?</t>
  </si>
  <si>
    <t>Оценка: 
плохо:  0 пунктов
ожидается: 1 Пункт  
хорошо, более чем ожидалось: 2 пункта 
ПОЧЕМУ НЕ НАШЛИ?
- Факторы определяющие :почему не обнаружено?
 -Проверены ли факторы логично?
 -Каковы доказательства подтверждающие проверку факторов?
 -инструменты: 5 Почему, Gage R+R</t>
  </si>
  <si>
    <t>Оценка:
плохо:  0 пунктов
ожидается:    1 Пункт  
хорошо, более чем ожидалось: 2 пункта 
Факторы устанавливающие каким образом дефект был произведен:
ПОЧЕМУ ЭТО СЛУЧИЛОСЬ СЕЙЧАС, А НЕ В ДРУГОЕ ВРЕМЯ?
 -Проверены ли факторы логично?
- Поиск подтверждения связи между различиями хорошой и плохой части.
Есть ли подтверждение того, что факторы были "протестированы", детали подтверждены?
- Демонстрирует ли анализ почему такое  количество бракованных изделий и почему это произошло в это время?</t>
  </si>
  <si>
    <t xml:space="preserve">Оценка:
плохо:  0 пунктов
ожидается :1 Пункт  
хорошо, более чем ожидалось: 2 пункта 
Статус контр мер ясен:
25%/50%/75%/100%
- введённое и проверенное
- Регулируя параметры процеса проблемы могут быть воспроизведены
- Контрмеры должны влечь за собой изменения либо продукта либо Процесса.
Обучение оператора недостаточно! </t>
  </si>
  <si>
    <t>Показать связь между выявленными причинами в Д4 и Д5</t>
  </si>
  <si>
    <t>Оценка:
плохо:  0 пунктов (не заполнен лист "Стастистика D3-D7")
ожидаемо:    1 Пункт
более чем ожидалось: 2 пункта (отслеживающий график постоянно обновляться до тех пор, как 8D-файл был закрыт; контрмеры эффективны )
- Отслеживающий график подтверждает эффективность контрмер.
- Нет повторного возникновения у заказчика. Внутренняя Стена Качества проверилаэффективность проверки в Конце Линии.</t>
  </si>
  <si>
    <t>Оценка:
плохо:  0 пунктов
Ожидается:1 Пункт
более чем ожидалось: 2 пункта 
FMEA не обновлено -2 Пункты
- Ясно определены потенциальные уроки?
- Будет использавано для развития новых продуктов?
- Стандарт или норма были созданы?
-Был ли актуализирован FMEA?</t>
  </si>
  <si>
    <t>Ocena:
źle:  0 punktów
dobry:    1 Punkt
bardzo dobry : 2 Punkty
- Problem zdefiniowany z punktu widzenia Faurecii
- Jasny opis części złej i dobrej
- Do wyjasnienia problemu należy użyć części złej i dobrej
- TAK/NIE: czy problem został jasno i szczególowo opisany, np: bez uogólnień? Czy skala problemu została zredukowana?</t>
  </si>
  <si>
    <t>Datę rozpoczęcia jest połączona z arkuszem "Statistik D3-D7". Proszę wpisac w formacie rrrr.mm.dd</t>
  </si>
  <si>
    <t>Ocena:
źle:  0 Punktów
dobry:    1 Punkt  (ryzyko na innych produktach zidentyfikowane)
bardzo dobry: 2 punkty (ryzyko na innych produktach i ryzyko reklamacji pogwarancyjnej zidentyfikowane)
- Potencjalne ryzyka na innych produktach lub procesach zidentyfikowane i zaraportowane?
- Inne fabryki/klienci ostrzeżeni?</t>
  </si>
  <si>
    <t>Czy jest ryzyko w innych produktach lub procesach?
Czy inne pojazdy są potencjalnie zagrożone?
Czy jest takie samo zagrożenie defektem?
Czy ostrzeżono inne fabryki?
Jak można wykryć defekt?
Jaka ilość części jest zagrożona?</t>
  </si>
  <si>
    <t xml:space="preserve">Ile potencjalnie wadliwych części było dostarczonych zanim problem został wykryty?
Czy zakres problemu może zostać ograniczony do specyficznej dostawy?
</t>
  </si>
  <si>
    <t>Ocena:
źle:  0 punktów
dobry:    1 Punkt  (ryzyko na innych produktach zidentyfikowane)
bardzo dobry: 2 punkty (pełny opis działań natychmiastowych, jasny opis zakończenia)
- Czy działania natychmiastowe zostały szczegółowo opisane, czy została stworzona instrukcja pracy?
- Czy rzeczywiste dane są dostępne? W czasie sortowaia należy zbierać maksymalną ilość informacji aby wspomóc zdefiniowanie problemu.
- Czy zostały podjęte działania w celu ochrony klienta na podobnych produktach?</t>
  </si>
  <si>
    <t>Ocena:
źle:  0 punktów
dobry:    1 Punkt
bardzo dobry: 2 punkty 
Brak aktualizacji FMEA: - 2 Punkty
- Czy został wyktyty obszard do porprawy?
- Czy wykorzystano do poprawy nowych produktów?
- Czy stworzono normę lub standard?
-Czy zaktualizowano FMEA?</t>
  </si>
  <si>
    <t xml:space="preserve">Riesgo sobre otros productos o procesos?
Otros vehículos que pueden verse afectados?
Misma severidad del defecto?
Prevenir otras plantas?
Cómo podemos detectar el fallo?
Volumen que puede estar afectado?
</t>
  </si>
  <si>
    <t xml:space="preserve">Evaluación:
 no satisfactoria:  0 puntos
 expectativas encontradas : 1 punto
 excede las expectativas: 2 puntos
FMEA sin actualizar: -2 puntos
- Se han identificado "lecciones aprendidas" potenciales claras?
- Se ha utilizado para mejorar nuevos productos?
- Se ha creado una norma o un estándar?
- El FMEA se ha actualizado?
</t>
  </si>
  <si>
    <r>
      <t xml:space="preserve">IS/IS NOT analysis works by making you deliberately think about the problem and in particular the boundaries of what it IS or IS NOT. 
IS/ IS NOT “asks” a series of questions that relate to the symptom to help quantifying the problem using factual data, as detailed as possible. It thus helps to create focus in attention and consequently is more likely to lead to the right problem being solved.
</t>
    </r>
    <r>
      <rPr>
        <b/>
        <sz val="11"/>
        <rFont val="Arial"/>
        <family val="2"/>
      </rPr>
      <t xml:space="preserve">Simple life example: </t>
    </r>
    <r>
      <rPr>
        <b/>
        <sz val="14"/>
        <color indexed="62"/>
        <rFont val="Arial"/>
        <family val="2"/>
      </rPr>
      <t>Wheels on a car keep going out of balance</t>
    </r>
  </si>
  <si>
    <t xml:space="preserve">    ISHIKAWA (Cause-and-Effect Diagram / Ursache-Wirkung Diagramm / Diagramme Cause-et-Effet)</t>
  </si>
  <si>
    <t xml:space="preserve">evaluation:
bad:  0  point
expected:    1 point
good: more than expectation:  2 points
-  Problem Definition for Faurecia View
- Clear definition of the difference between good and bad parts
- Use Good and Bad parts to explain problem                                                                                                                     </t>
  </si>
  <si>
    <t>The start date is linked with "Statistik D3-D7"file Please fill dd.mm.yyyy!</t>
  </si>
  <si>
    <t>evaluation:
bad:  0 point
expected:    1 point risk on ohter products identified)
good: 2 points  risk on other products and risk of warranty claims identified)
- Are potential risks on other products or processes identified and reported?
- Other plants/customers warned?</t>
  </si>
  <si>
    <t>How many potentially affected parts were delivered before the problem was detected?
Can the scope of the defect be reduced to a specific delivery / charge?</t>
  </si>
  <si>
    <t>Risks on other products or processes?
Other vehicles potentially impacted?
Same severity of defect?
Other plants warned?
How can the defect be detected ?
Potential volume impacted?</t>
  </si>
  <si>
    <t>evaluation:
 bad:  0 points
expected:    1 point
good: more than expectation: 2 Punkte / points
Factors related to how the defect was produced:
WHY HAPPENS THIS TIME &amp; NO OTHER TIME?
- Are the factors validated logical?
- Look for the evidence linked to the difference between good and bad parts.
Is there evidence that the factors have been "tested" as part of the confirmation.
- Does the analysis show why the actual number of parts rejected and why is it occurred this time?</t>
  </si>
  <si>
    <t>evaluation:
schlecht / bad:  0 points ( no data filled in the worksheet "Statistik (D3-D7)")
gut/expected:    1 Punkt / point
more than expectation: 2 points (racking chart continuously updated until the 8D-file was closed; countermeasures are effective )
- Tracking chart evidence should confirm countermeasure effectiveness.
- No reoccurrence at the customer. An internal Q-Wall verified the effectivess of the End of Line inspection.</t>
  </si>
  <si>
    <t xml:space="preserve">
evaluation:
bad:  0 points
xpected:    1 point
good: more than expectation: 2 points
WHY NOT FOUND ?
- Factors related to why not detected:
- Are the factors validated logical?
- What is the evidence to support the factors validated?
- Tools: 5Why; Gage R+R</t>
  </si>
  <si>
    <t>List up each validated root causes with Occ1, Occ2, etc. Validated root causes should come from factor investigation + 5 Why's</t>
  </si>
  <si>
    <t xml:space="preserve">
evaluation:
schlecht / bad:  0 Punkte / points
gut/expected:    1 Punkt / point
sehr gut / good: über den Erwartungen / more than expectation: 2 Punkte / points
Countermeasure status is clear:
                 -25% / 50% / 75% / 100%
                  -Implemented &amp; checked
- By adjusting the process parameters the problem can be reproduced.
- Countermeasures should involve changes to either product or Process.
Retrain operator is not sufficient!</t>
  </si>
  <si>
    <t>Show the relationship between identified root causes in D4 &amp; D5</t>
  </si>
  <si>
    <t xml:space="preserve">
Gibt es einen Nachweis zur Verteilung der LLS.</t>
  </si>
  <si>
    <t>Wie viele Werke erhielten die LLS</t>
  </si>
  <si>
    <t>Gesamt</t>
  </si>
  <si>
    <t>Wurden die Ergebnisse durch Daten und Fakten mittels praktischen Analysen gewonnen?</t>
  </si>
  <si>
    <t>Suchen Sie nach numerischen Daten, SPC, Simulationen, Tests etc.</t>
  </si>
  <si>
    <t>12
(D3)</t>
  </si>
  <si>
    <r>
      <t xml:space="preserve">Vergleichsfaktor
</t>
    </r>
    <r>
      <rPr>
        <sz val="10"/>
        <rFont val="Arial"/>
        <family val="2"/>
      </rPr>
      <t xml:space="preserve">Nicht Entdeckung
</t>
    </r>
  </si>
  <si>
    <r>
      <t xml:space="preserve">Vergleichsfaktor
</t>
    </r>
    <r>
      <rPr>
        <sz val="10"/>
        <rFont val="Arial"/>
        <family val="2"/>
      </rPr>
      <t>Entstehung</t>
    </r>
  </si>
  <si>
    <r>
      <t xml:space="preserve">5 Warum
</t>
    </r>
    <r>
      <rPr>
        <sz val="10"/>
        <rFont val="Arial"/>
        <family val="2"/>
      </rPr>
      <t xml:space="preserve">
Alle validierten Faktoren werden durch die 5 Warum's untersucht</t>
    </r>
  </si>
  <si>
    <r>
      <t xml:space="preserve">Gegenmaßnahmen
</t>
    </r>
    <r>
      <rPr>
        <sz val="10"/>
        <rFont val="Arial"/>
        <family val="2"/>
      </rPr>
      <t>Gegenmaßnahmen wurden identifiziert
Kann das Problem reproduziert werden</t>
    </r>
  </si>
  <si>
    <r>
      <t xml:space="preserve">Effektivität der Gegenmaßnahmen
</t>
    </r>
    <r>
      <rPr>
        <sz val="10"/>
        <rFont val="Arial"/>
        <family val="2"/>
      </rPr>
      <t>C/M Aktionen durch Indikatoren bestätigt</t>
    </r>
  </si>
  <si>
    <r>
      <t xml:space="preserve">Was wurde gelernt?
</t>
    </r>
    <r>
      <rPr>
        <sz val="10"/>
        <rFont val="Arial"/>
        <family val="2"/>
      </rPr>
      <t>Aus welchem Faktor haben wir während der Analyse am meisten gelernt?</t>
    </r>
  </si>
  <si>
    <r>
      <t xml:space="preserve">Zeit
</t>
    </r>
    <r>
      <rPr>
        <sz val="10"/>
        <rFont val="Arial"/>
        <family val="2"/>
      </rPr>
      <t>Wurden die vorgegebenen Zeiten eingehalten?</t>
    </r>
  </si>
  <si>
    <r>
      <t>●</t>
    </r>
    <r>
      <rPr>
        <sz val="10"/>
        <rFont val="Arial"/>
        <family val="2"/>
      </rPr>
      <t xml:space="preserve"> Suchen Sie nach Beweisen in Verbindung mit den Unterschieden zwischen guten und schlechten Teilen. 
● Gibt es Beweise, dass die Faktoren im Rahmen der Bestätigung "geprüft" wurden? 
● Zeigt die Analyse, warum die aktuelle Zahl der Teile reklamiert wurde und warum Sie zu diesem Zeitpunkt aufgetreten sind.</t>
    </r>
  </si>
  <si>
    <t>Check Point</t>
  </si>
  <si>
    <t>Logical Thinking  evaluation criteria</t>
  </si>
  <si>
    <t>Helpful Hints</t>
  </si>
  <si>
    <t>Bad</t>
  </si>
  <si>
    <t>Expectation</t>
  </si>
  <si>
    <t>Good (More than expectation)</t>
  </si>
  <si>
    <t xml:space="preserve">0 Points </t>
  </si>
  <si>
    <t>1 Point</t>
  </si>
  <si>
    <t xml:space="preserve">2 Points </t>
  </si>
  <si>
    <t xml:space="preserve">1 Point </t>
  </si>
  <si>
    <t xml:space="preserve">
Factors related to why not detected:
Are the factors validated logical?
What is the evidence to support the factors validated?
</t>
  </si>
  <si>
    <t>Look for the evidence linked to the difference between good and bad parts 
Is there evidence that the factors have been "tested" as part of the confirmation.</t>
  </si>
  <si>
    <t xml:space="preserve">
Factors related how produced:
Are the factors validated logical?
What is the evidence to support the factors validated?
</t>
  </si>
  <si>
    <t>Look for the evidence linked to the difference between good and bad parts 
Is there evidence that the factors have been "tested" as part of the confirmation.
Does the analysis show why the actual number of parts rejected and why it occurred at that moment</t>
  </si>
  <si>
    <t xml:space="preserve">
Each confirmed factor should be analysised with 5 whys
Each step of 5 whys must be presented with evidence that it is logical</t>
  </si>
  <si>
    <t>5 whys should lead to management issues i.e. why the problem was not considered in the FMEA</t>
  </si>
  <si>
    <t xml:space="preserve">
Countermeasure status is clear:
-Complete/implemented
-Implemented &amp; checked
By adjusting the process parameters can the problem be reproduced</t>
  </si>
  <si>
    <t>Countermeasures should involve changes to either product or Process.
Retrain operator is not sufficient</t>
  </si>
  <si>
    <t>Tracking chart evidence should confirm countermeasure effectiveness:
No defects from external and internal customer. 
No reoccurrence in Line QRQC</t>
  </si>
  <si>
    <t xml:space="preserve">-2 Points </t>
  </si>
  <si>
    <t>Problem was shown to have been reproduced
If concern reoccurred the -2 points</t>
  </si>
  <si>
    <t xml:space="preserve">
Was a clear learning point identified.
Was it used to improve new products 
</t>
  </si>
  <si>
    <r>
      <t>-2 Points</t>
    </r>
    <r>
      <rPr>
        <sz val="10"/>
        <rFont val="Arial"/>
        <family val="2"/>
      </rPr>
      <t xml:space="preserve"> </t>
    </r>
  </si>
  <si>
    <t xml:space="preserve">Has a standard or norm been created
Has FMEA been updated </t>
  </si>
  <si>
    <t xml:space="preserve">
What evidence was presented to support the distribution of LLS</t>
  </si>
  <si>
    <t>How many plants received the LLS</t>
  </si>
  <si>
    <t>Were the conclusions based on facts and data obtained through practical analysis.</t>
  </si>
  <si>
    <t>Look for numerical data, SPC, simulation tests etc.</t>
  </si>
  <si>
    <t xml:space="preserve">
D3 = 24 Hours
D6 = 10 Days
D8 = 60 days
</t>
  </si>
  <si>
    <t>Containment within 24 hrs is key to the customer. If not achieved then -2 points</t>
  </si>
  <si>
    <r>
      <t xml:space="preserve">Factor Comparison
</t>
    </r>
    <r>
      <rPr>
        <sz val="10"/>
        <rFont val="Arial"/>
        <family val="2"/>
      </rPr>
      <t xml:space="preserve">Non Detection
</t>
    </r>
  </si>
  <si>
    <r>
      <t xml:space="preserve">Factor Comparison
</t>
    </r>
    <r>
      <rPr>
        <sz val="10"/>
        <rFont val="Arial"/>
        <family val="2"/>
      </rPr>
      <t>Creation</t>
    </r>
  </si>
  <si>
    <t xml:space="preserve">                                                  Reklamacja nie zakceptowana (Dlaczego?)</t>
  </si>
  <si>
    <r>
      <t xml:space="preserve">5 Whys
</t>
    </r>
    <r>
      <rPr>
        <sz val="10"/>
        <rFont val="Arial"/>
        <family val="2"/>
      </rPr>
      <t xml:space="preserve">
All validated factors evaluated through the 5 whys.
</t>
    </r>
  </si>
  <si>
    <r>
      <t xml:space="preserve">Countermeasures
</t>
    </r>
    <r>
      <rPr>
        <sz val="10"/>
        <rFont val="Arial"/>
        <family val="2"/>
      </rPr>
      <t xml:space="preserve">Countermeasures have been identified
Can the problem be reproduced </t>
    </r>
  </si>
  <si>
    <r>
      <t xml:space="preserve">Countermeasure effectiveness
</t>
    </r>
    <r>
      <rPr>
        <sz val="10"/>
        <rFont val="Arial"/>
        <family val="2"/>
      </rPr>
      <t>C/M actions confirmed by indicators</t>
    </r>
  </si>
  <si>
    <r>
      <t xml:space="preserve">Timing
</t>
    </r>
    <r>
      <rPr>
        <sz val="10"/>
        <rFont val="Arial"/>
        <family val="2"/>
      </rPr>
      <t>Were the timing objectives met</t>
    </r>
  </si>
  <si>
    <t>Prüfpunkt</t>
  </si>
  <si>
    <t>1st WHY?</t>
  </si>
  <si>
    <t>2nd WHY ?</t>
  </si>
  <si>
    <t>3rd WHY ?</t>
  </si>
  <si>
    <t>4th WHY ?</t>
  </si>
  <si>
    <t>5th WHY ?</t>
  </si>
  <si>
    <t>Check</t>
  </si>
  <si>
    <t>NOK</t>
  </si>
  <si>
    <t>geprüft</t>
  </si>
  <si>
    <t xml:space="preserve">               2. Eindämmaßnahmen</t>
  </si>
  <si>
    <t xml:space="preserve">           </t>
  </si>
  <si>
    <t>B</t>
  </si>
  <si>
    <t>A</t>
  </si>
  <si>
    <t>E</t>
  </si>
  <si>
    <r>
      <t xml:space="preserve">Was wurde verteilt?
</t>
    </r>
    <r>
      <rPr>
        <sz val="10"/>
        <color indexed="22"/>
        <rFont val="Arial"/>
        <family val="2"/>
      </rPr>
      <t>Wie viele Werke erhielten eine LLS Information</t>
    </r>
  </si>
  <si>
    <r>
      <t xml:space="preserve">What was shared
</t>
    </r>
    <r>
      <rPr>
        <sz val="10"/>
        <color indexed="22"/>
        <rFont val="Arial"/>
        <family val="2"/>
      </rPr>
      <t>How many plants received the LLS information</t>
    </r>
  </si>
  <si>
    <r>
      <t xml:space="preserve">Daten und Beweise
</t>
    </r>
    <r>
      <rPr>
        <sz val="10"/>
        <color indexed="22"/>
        <rFont val="Arial"/>
        <family val="2"/>
      </rPr>
      <t>Zeigt die Präsentation Daten und Beweise?</t>
    </r>
  </si>
  <si>
    <r>
      <t xml:space="preserve">Data and Evidence
</t>
    </r>
    <r>
      <rPr>
        <sz val="10"/>
        <color indexed="22"/>
        <rFont val="Arial"/>
        <family val="2"/>
      </rPr>
      <t>Could you see data and evidence in the presentation</t>
    </r>
  </si>
  <si>
    <r>
      <t>-2 Points</t>
    </r>
    <r>
      <rPr>
        <sz val="10"/>
        <color indexed="22"/>
        <rFont val="Arial"/>
        <family val="2"/>
      </rPr>
      <t xml:space="preserve"> </t>
    </r>
  </si>
  <si>
    <r>
      <t>5W &amp; 2H</t>
    </r>
    <r>
      <rPr>
        <sz val="10"/>
        <rFont val="Arial"/>
        <family val="2"/>
      </rPr>
      <t xml:space="preserve">
Was?
Warum?
Wann?
Wer?
Wo?
Wie wurde es entdeckt?
Wie viele?                                                                                  </t>
    </r>
    <r>
      <rPr>
        <b/>
        <sz val="10"/>
        <rFont val="Arial"/>
        <family val="2"/>
      </rPr>
      <t>IST &amp; IST NICHT</t>
    </r>
    <r>
      <rPr>
        <sz val="10"/>
        <rFont val="Arial"/>
        <family val="2"/>
      </rPr>
      <t xml:space="preserve">
Vergleichsanalyse</t>
    </r>
  </si>
  <si>
    <t xml:space="preserve">
Was ist das Problem?
Warum ist es ein Problem?
Wann wurde das Problem gefunden?
Wer hat das Problem entdeckt?
Wo wurde das Problem enteckt?
Wie wurde es entdeckt
Wie viele wurden entdeckt?                                                                                                                                                                Wurde der Problemumfang geklärt? 
Wurde der Problemumfang reduziert?</t>
  </si>
  <si>
    <t>Achten sie auf eine klare Definition der Unterschiede zwischen guten und schlechten Teilen.
Der Moderator muss gute und schlechte Teile benutzen um das Problem zu erklären.                                                                                                                                 Wurde das Problem klar definiert, d.h. kein allgemeine Aussagen</t>
  </si>
  <si>
    <t>2
(D2 )</t>
  </si>
  <si>
    <r>
      <t>5W &amp; 2H</t>
    </r>
    <r>
      <rPr>
        <sz val="10"/>
        <rFont val="Arial"/>
        <family val="2"/>
      </rPr>
      <t xml:space="preserve">
What?
Why?
When?
Who?
Where?
How was it found?
How many?                                                                   </t>
    </r>
    <r>
      <rPr>
        <b/>
        <sz val="10"/>
        <rFont val="Arial"/>
        <family val="2"/>
      </rPr>
      <t>IS &amp; IS Not</t>
    </r>
    <r>
      <rPr>
        <sz val="10"/>
        <rFont val="Arial"/>
        <family val="2"/>
      </rPr>
      <t xml:space="preserve">
Comparison analysis</t>
    </r>
  </si>
  <si>
    <t xml:space="preserve">
What was the problem?
Why was it a problem?
When was the problem found?
Who found the problem?
Where was the problem found?
How was it found
How many where found?                                                                                                                       Has the problem scope been clarified? 
Has the problem Scope been reduced?</t>
  </si>
  <si>
    <t>Look for the clear definition of the difference between good and bad parts
Presenter must use Good and Bad parts to explain problem                                                                                                                     Has the problem been clearly specified 
i.e. not general statement</t>
  </si>
  <si>
    <t>3
(D3)</t>
  </si>
  <si>
    <r>
      <t xml:space="preserve">
</t>
    </r>
    <r>
      <rPr>
        <b/>
        <sz val="10"/>
        <rFont val="Arial"/>
        <family val="2"/>
      </rPr>
      <t>Ähnliche Produkte betroffen</t>
    </r>
    <r>
      <rPr>
        <sz val="10"/>
        <rFont val="Arial"/>
        <family val="2"/>
      </rPr>
      <t xml:space="preserve">                                                              Sind potentiell ähnlich gefährdete Produkte identifiziert?</t>
    </r>
    <r>
      <rPr>
        <sz val="10"/>
        <rFont val="Arial"/>
        <family val="2"/>
      </rPr>
      <t xml:space="preserve">
</t>
    </r>
  </si>
  <si>
    <t>Wurden Aktionen unternommen um den Kunden bei ähnlichen Produkten zu schützen</t>
  </si>
  <si>
    <t>Sind gefährdete Teilenummern (Reference N°) reported</t>
  </si>
  <si>
    <t xml:space="preserve">
Daten von Sortier- und Sofortmaßnahmen</t>
  </si>
  <si>
    <t>Sind echte Daten verfügbar? D.h. Zahl der Defekte/Zahl der Geprüften/Tag/Schicht etc.</t>
  </si>
  <si>
    <t>Wurde während der Sortiermaßnahmen die max. Zahl an Daten gesammelt um bei der Problemdefinition zu helfen. Ist es ein Teil von IST &amp; IST NICHT</t>
  </si>
  <si>
    <r>
      <t xml:space="preserve">Similar Product concerns
</t>
    </r>
    <r>
      <rPr>
        <sz val="10"/>
        <rFont val="Arial"/>
        <family val="2"/>
      </rPr>
      <t xml:space="preserve">Have similar products potentially at risk been identified </t>
    </r>
  </si>
  <si>
    <t xml:space="preserve">Data from sorting &amp; containment actions
</t>
  </si>
  <si>
    <t xml:space="preserve"> Have actions been taken to protect the customer on similar products</t>
  </si>
  <si>
    <t>Is the real data available? 
i.e. number of defects/number checked / day/ shift etc.</t>
  </si>
  <si>
    <t xml:space="preserve"> Are reference N° at risk reported </t>
  </si>
  <si>
    <t>During sorting look for the maximum amount of data collected to help define the problem. It is part of IS and IS not</t>
  </si>
  <si>
    <t>D1</t>
  </si>
  <si>
    <t>D2</t>
  </si>
  <si>
    <t>D3</t>
  </si>
  <si>
    <t>D4</t>
  </si>
  <si>
    <t>D5</t>
  </si>
  <si>
    <t>D6</t>
  </si>
  <si>
    <t>D7</t>
  </si>
  <si>
    <t>Punkte</t>
  </si>
  <si>
    <t>D8</t>
  </si>
  <si>
    <t>D6 10days</t>
  </si>
  <si>
    <t>D7 Fehlerwiederholung</t>
  </si>
  <si>
    <t>Sofortmaßnahmen</t>
  </si>
  <si>
    <t>Abstellmaßnahmen</t>
  </si>
  <si>
    <t>Kontaktperson Lieferant</t>
  </si>
  <si>
    <t>deadline</t>
  </si>
  <si>
    <t>60Tage</t>
  </si>
  <si>
    <t>2 Stunden</t>
  </si>
  <si>
    <t>Zeit</t>
  </si>
  <si>
    <t>Zeit+ allg</t>
  </si>
  <si>
    <t>allg</t>
  </si>
  <si>
    <t>24h</t>
  </si>
  <si>
    <r>
      <t xml:space="preserve">
D3 = 24 Stunden
D6 = 10 Tage 
</t>
    </r>
    <r>
      <rPr>
        <sz val="10"/>
        <rFont val="Arial"/>
        <family val="2"/>
      </rPr>
      <t>D8 = 60 Tage</t>
    </r>
    <r>
      <rPr>
        <sz val="10"/>
        <rFont val="Arial"/>
        <family val="2"/>
      </rPr>
      <t xml:space="preserve">
</t>
    </r>
  </si>
  <si>
    <t xml:space="preserve">1 Punkt  </t>
  </si>
  <si>
    <t>Risikoabschätzung Feldausfälle</t>
  </si>
  <si>
    <t>Bewertung in Prozent</t>
  </si>
  <si>
    <t>D3 wirksam (Zeit)</t>
  </si>
  <si>
    <t>D5 5WHY</t>
  </si>
  <si>
    <t>Zusatzpunkte</t>
  </si>
  <si>
    <t>Gesamtpunkte nach LTM</t>
  </si>
  <si>
    <t>D3&lt;2h</t>
  </si>
  <si>
    <t>D3&gt;24h</t>
  </si>
  <si>
    <t>Bewertungskriterium</t>
  </si>
  <si>
    <t xml:space="preserve"> Bewertung</t>
  </si>
  <si>
    <t>D3,D6,D8 ok</t>
  </si>
  <si>
    <t>S/R relevant</t>
  </si>
  <si>
    <t>Risk of warranty-claims</t>
  </si>
  <si>
    <t>Kunde informiert</t>
  </si>
  <si>
    <t>Customer informed</t>
  </si>
  <si>
    <t>Kunde</t>
  </si>
  <si>
    <t>Customer</t>
  </si>
  <si>
    <t>FMEA</t>
  </si>
  <si>
    <t>QP-Nummer / Alarmmeldung 
&amp; PF-Kategorie</t>
  </si>
  <si>
    <t>QP Number
Alert/
&amp; PF-Category</t>
  </si>
  <si>
    <t>Alerte / 
Numéro QP / et catégorie de PF</t>
  </si>
  <si>
    <t>Alerta/
Número de QP/ y categoria de PF</t>
  </si>
  <si>
    <r>
      <t xml:space="preserve">Evaluation
mauvaises: 0 point
en accord avec les attentes :  1 point
très bonne: 2 points (description complète des actions de contention ; premières pièces ok bien définies)
- Les mesures de </t>
    </r>
    <r>
      <rPr>
        <sz val="11"/>
        <rFont val="Arial"/>
        <family val="2"/>
      </rPr>
      <t>rétention</t>
    </r>
    <r>
      <rPr>
        <sz val="10"/>
        <rFont val="Arial"/>
        <family val="2"/>
      </rPr>
      <t>,</t>
    </r>
    <r>
      <rPr>
        <sz val="10"/>
        <rFont val="Arial"/>
        <family val="2"/>
      </rPr>
      <t xml:space="preserve"> ont elles été définies dans les détails et des modes opératoires ont ils été créés pour cela?
- Les résultats du tri sont ils disponibles? Un maximum d'informations a-t-il été rassemblé afin d'aider á mieux définir le problème.
- Une action a-t-elle été prise pour protéger le client ou des produits similaires?
</t>
    </r>
  </si>
  <si>
    <t>Product / 
Part number</t>
  </si>
  <si>
    <t>Start date</t>
  </si>
  <si>
    <t>What is the Problem? Problem Description (NOK/OK parts)</t>
  </si>
  <si>
    <t>Part manufacturing date</t>
  </si>
  <si>
    <t>D1 - Problem Description: 5W+2H detection/occurrence</t>
  </si>
  <si>
    <t>Why is it a problem?</t>
  </si>
  <si>
    <t>Non Detection D4</t>
  </si>
  <si>
    <t>No detection 1</t>
  </si>
  <si>
    <t>No detection 2</t>
  </si>
  <si>
    <t>No detection 3</t>
  </si>
  <si>
    <t>No detection 4</t>
  </si>
  <si>
    <t>D5 - Root Causes of Occurrence</t>
  </si>
  <si>
    <t>D6 - Permanent Countermeasures</t>
  </si>
  <si>
    <t>Root Cause</t>
  </si>
  <si>
    <t>D2 - Risks on Similar Products and Processes</t>
  </si>
  <si>
    <t>D4 - Root Causes of Non-Detection</t>
  </si>
  <si>
    <t>D3 - Containment</t>
  </si>
  <si>
    <t>1. Sorting 
by Location</t>
  </si>
  <si>
    <t>Location</t>
  </si>
  <si>
    <t>Comments / Conclusions</t>
  </si>
  <si>
    <t>Clean Point</t>
  </si>
  <si>
    <t>Ответственный</t>
  </si>
  <si>
    <t>Статус</t>
  </si>
  <si>
    <t xml:space="preserve">Cómo están la piezas verificadas? -&gt;&gt;&gt; Comó están identificadas las piezas verificadas?
Cómo están identificadas las piezas buenas? 
</t>
  </si>
  <si>
    <t>FMEA, control plan, maintenance plan, workstation documents, audit frequency, boundary samples, knowledge management database / product or process standard, Lesson Learned Sheet…</t>
  </si>
  <si>
    <t>Action</t>
  </si>
  <si>
    <t>Where was it detected?</t>
  </si>
  <si>
    <t>Who detected it?</t>
  </si>
  <si>
    <t>How many defective parts?</t>
  </si>
  <si>
    <t>When was it detected?</t>
  </si>
  <si>
    <t xml:space="preserve">1. Sortieraktion je Adresse                                                                  </t>
  </si>
  <si>
    <t>checked</t>
  </si>
  <si>
    <t xml:space="preserve">D7 - Effectiveness/Tracking </t>
  </si>
  <si>
    <t>Supplier contact:</t>
  </si>
  <si>
    <t>Opening date:</t>
  </si>
  <si>
    <t xml:space="preserve">               D6 - Eingeleitete Abstellmaßnahmen (dauerhaft) </t>
  </si>
  <si>
    <t>Inhalt/content</t>
  </si>
  <si>
    <t>Termine/dates</t>
  </si>
  <si>
    <t>keine FMEA/FMEA missing</t>
  </si>
  <si>
    <t>Wiederholungsfehler/reoccurence</t>
  </si>
  <si>
    <t xml:space="preserve">    8D-Bewertung [%]</t>
  </si>
  <si>
    <t>Ishikawa / 5WHY ok</t>
  </si>
  <si>
    <t>Das Problem wurde reproduziert
Wenn das Thema wiederauftritt, dann -10 Punkte</t>
  </si>
  <si>
    <t>Wurde ein Standard oder eine Norm erstellt?
Wurde die FMEA aktualisiert? Falls nein                                                -2 Punkte</t>
  </si>
  <si>
    <t>Eindämmung innerhalb 24 Stunden ist der Schlüssel zum Kunden. Wenn nicht erreicht, -2 Punkte;  D3/D6/D8 innerhalb vorgegebener  Termine =1 Punkt; D3 innerhalb 2 Stunden = 2 Punkte</t>
  </si>
  <si>
    <r>
      <t xml:space="preserve">What was learned
</t>
    </r>
    <r>
      <rPr>
        <sz val="10"/>
        <rFont val="Arial"/>
        <family val="2"/>
      </rPr>
      <t xml:space="preserve">What was the important factor point </t>
    </r>
    <r>
      <rPr>
        <b/>
        <sz val="10"/>
        <rFont val="Arial"/>
        <family val="2"/>
      </rPr>
      <t>learned</t>
    </r>
    <r>
      <rPr>
        <sz val="10"/>
        <rFont val="Arial"/>
        <family val="2"/>
      </rPr>
      <t xml:space="preserve"> during the analysis</t>
    </r>
  </si>
  <si>
    <t xml:space="preserve">      D3 &lt; 2h</t>
  </si>
  <si>
    <t xml:space="preserve">      D3, D6, D8 ok</t>
  </si>
  <si>
    <t xml:space="preserve">      D3 &gt; 24h</t>
  </si>
  <si>
    <t>S</t>
  </si>
  <si>
    <t>O</t>
  </si>
  <si>
    <t>D</t>
  </si>
  <si>
    <t>25%
Plan</t>
  </si>
  <si>
    <t>50%
Do</t>
  </si>
  <si>
    <t>75%
Checked</t>
  </si>
  <si>
    <t>100%
Act/Closed</t>
  </si>
  <si>
    <t>Termin</t>
  </si>
  <si>
    <t xml:space="preserve">D7 - Wirksamkeitsnachweis / Verfolgung </t>
  </si>
  <si>
    <t xml:space="preserve">    8D-Evaluation [%]</t>
  </si>
  <si>
    <t>Last update:</t>
  </si>
  <si>
    <t xml:space="preserve">Supplier </t>
  </si>
  <si>
    <t>Date / Time
- Implementation Containment</t>
  </si>
  <si>
    <t>Sum</t>
  </si>
  <si>
    <t>Client</t>
  </si>
  <si>
    <t>Produit / 
Référence de la pièce</t>
  </si>
  <si>
    <t>Date de fabrication de la pièce</t>
  </si>
  <si>
    <t>Date :</t>
  </si>
  <si>
    <t>D2 - Risques sur produits et process similaires</t>
  </si>
  <si>
    <t>D3 - Sécurisation</t>
  </si>
  <si>
    <t>Commentaires / Conclusions</t>
  </si>
  <si>
    <t>Lieu</t>
  </si>
  <si>
    <t>Fournisseur</t>
  </si>
  <si>
    <t>contrô-lés</t>
  </si>
  <si>
    <t>1. Tri par lieu</t>
  </si>
  <si>
    <t xml:space="preserve">           2. Action de sécurisations</t>
  </si>
  <si>
    <t>1ère livraison garantie</t>
  </si>
  <si>
    <t>Contact fournisseur:</t>
  </si>
  <si>
    <t>Date d'ouverture:</t>
  </si>
  <si>
    <t>Dernière MAJ:</t>
  </si>
  <si>
    <t>D4 - Causes racines de non-détection</t>
  </si>
  <si>
    <t>D5 - Causes racine de création</t>
  </si>
  <si>
    <t>D6 - Contre-mesures permanentes</t>
  </si>
  <si>
    <t>Cause racine</t>
  </si>
  <si>
    <t xml:space="preserve"> Action Corrective</t>
  </si>
  <si>
    <t>Échéance</t>
  </si>
  <si>
    <t>D7 - Efficacité du plan d'action</t>
  </si>
  <si>
    <t>D8 - Leçons apprises</t>
  </si>
  <si>
    <t>D1 - Descripción del PROBLEMA: 5W+2H detección/ocurrencia</t>
  </si>
  <si>
    <t>Producto / 
Referencia</t>
  </si>
  <si>
    <t>Descripción de la pieza</t>
  </si>
  <si>
    <t>Fecha de fabricación de la pieza</t>
  </si>
  <si>
    <t>Fecha:</t>
  </si>
  <si>
    <t>Proveedor</t>
  </si>
  <si>
    <t>D2 - Riesgos en Productos o Procesos Similares.</t>
  </si>
  <si>
    <t>D3 - Contención.</t>
  </si>
  <si>
    <t>Cliente informado?</t>
  </si>
  <si>
    <t>1. Clasificación
por Localización</t>
  </si>
  <si>
    <t>Localización</t>
  </si>
  <si>
    <t>Comentarios / Conclusiones</t>
  </si>
  <si>
    <t>Acción</t>
  </si>
  <si>
    <t>Fecha / Hora implementación</t>
  </si>
  <si>
    <t>Contacto del proveedor:</t>
  </si>
  <si>
    <t>Fecha de apertura :</t>
  </si>
  <si>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
</t>
    </r>
    <r>
      <rPr>
        <sz val="10"/>
        <rFont val="돋움"/>
        <family val="3"/>
        <charset val="129"/>
      </rPr>
      <t>기대수준</t>
    </r>
    <r>
      <rPr>
        <sz val="10"/>
        <rFont val="Arial"/>
        <family val="2"/>
      </rPr>
      <t xml:space="preserve">:    1 point
</t>
    </r>
    <r>
      <rPr>
        <sz val="10"/>
        <rFont val="돋움"/>
        <family val="3"/>
        <charset val="129"/>
      </rPr>
      <t>좋음</t>
    </r>
    <r>
      <rPr>
        <sz val="10"/>
        <rFont val="Arial"/>
        <family val="2"/>
      </rPr>
      <t xml:space="preserve">: </t>
    </r>
    <r>
      <rPr>
        <sz val="10"/>
        <rFont val="돋움"/>
        <family val="3"/>
        <charset val="129"/>
      </rPr>
      <t>기대치</t>
    </r>
    <r>
      <rPr>
        <sz val="10"/>
        <rFont val="Arial"/>
        <family val="2"/>
      </rPr>
      <t xml:space="preserve"> </t>
    </r>
    <r>
      <rPr>
        <sz val="10"/>
        <rFont val="돋움"/>
        <family val="3"/>
        <charset val="129"/>
      </rPr>
      <t>이상</t>
    </r>
    <r>
      <rPr>
        <sz val="10"/>
        <rFont val="Arial"/>
        <family val="2"/>
      </rPr>
      <t xml:space="preserve">:  2 points
- </t>
    </r>
    <r>
      <rPr>
        <sz val="10"/>
        <rFont val="Arial"/>
        <family val="2"/>
      </rPr>
      <t xml:space="preserve"> </t>
    </r>
    <r>
      <rPr>
        <sz val="10"/>
        <rFont val="돋움"/>
        <family val="3"/>
        <charset val="129"/>
      </rPr>
      <t>포레시아</t>
    </r>
    <r>
      <rPr>
        <sz val="10"/>
        <rFont val="Arial"/>
        <family val="2"/>
      </rPr>
      <t xml:space="preserve"> </t>
    </r>
    <r>
      <rPr>
        <sz val="10"/>
        <rFont val="돋움"/>
        <family val="3"/>
        <charset val="129"/>
      </rPr>
      <t>관점에</t>
    </r>
    <r>
      <rPr>
        <sz val="10"/>
        <rFont val="Arial"/>
        <family val="2"/>
      </rPr>
      <t xml:space="preserve"> </t>
    </r>
    <r>
      <rPr>
        <sz val="10"/>
        <rFont val="돋움"/>
        <family val="3"/>
        <charset val="129"/>
      </rPr>
      <t>의한</t>
    </r>
    <r>
      <rPr>
        <sz val="10"/>
        <rFont val="Arial"/>
        <family val="2"/>
      </rPr>
      <t xml:space="preserve"> </t>
    </r>
    <r>
      <rPr>
        <sz val="10"/>
        <rFont val="돋움"/>
        <family val="3"/>
        <charset val="129"/>
      </rPr>
      <t>문제</t>
    </r>
    <r>
      <rPr>
        <sz val="10"/>
        <rFont val="Arial"/>
        <family val="2"/>
      </rPr>
      <t xml:space="preserve"> </t>
    </r>
    <r>
      <rPr>
        <sz val="10"/>
        <rFont val="돋움"/>
        <family val="3"/>
        <charset val="129"/>
      </rPr>
      <t>정의</t>
    </r>
    <r>
      <rPr>
        <sz val="10"/>
        <rFont val="Arial"/>
        <family val="2"/>
      </rPr>
      <t xml:space="preserve">
- </t>
    </r>
    <r>
      <rPr>
        <sz val="10"/>
        <rFont val="돋움"/>
        <family val="3"/>
        <charset val="129"/>
      </rPr>
      <t>양품과</t>
    </r>
    <r>
      <rPr>
        <sz val="10"/>
        <rFont val="Arial"/>
        <family val="2"/>
      </rPr>
      <t xml:space="preserve"> </t>
    </r>
    <r>
      <rPr>
        <sz val="10"/>
        <rFont val="돋움"/>
        <family val="3"/>
        <charset val="129"/>
      </rPr>
      <t>불량품에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명확한</t>
    </r>
    <r>
      <rPr>
        <sz val="10"/>
        <rFont val="Arial"/>
        <family val="2"/>
      </rPr>
      <t xml:space="preserve"> </t>
    </r>
    <r>
      <rPr>
        <sz val="10"/>
        <rFont val="돋움"/>
        <family val="3"/>
        <charset val="129"/>
      </rPr>
      <t>정의</t>
    </r>
    <r>
      <rPr>
        <sz val="10"/>
        <rFont val="Arial"/>
        <family val="2"/>
      </rPr>
      <t xml:space="preserve">
- </t>
    </r>
    <r>
      <rPr>
        <sz val="10"/>
        <rFont val="돋움"/>
        <family val="3"/>
        <charset val="129"/>
      </rPr>
      <t>실제</t>
    </r>
    <r>
      <rPr>
        <sz val="10"/>
        <rFont val="Arial"/>
        <family val="2"/>
      </rPr>
      <t xml:space="preserve"> </t>
    </r>
    <r>
      <rPr>
        <sz val="10"/>
        <rFont val="돋움"/>
        <family val="3"/>
        <charset val="129"/>
      </rPr>
      <t>예시를</t>
    </r>
    <r>
      <rPr>
        <sz val="10"/>
        <rFont val="Arial"/>
        <family val="2"/>
      </rPr>
      <t xml:space="preserve"> </t>
    </r>
    <r>
      <rPr>
        <sz val="10"/>
        <rFont val="돋움"/>
        <family val="3"/>
        <charset val="129"/>
      </rPr>
      <t>활용한</t>
    </r>
    <r>
      <rPr>
        <sz val="10"/>
        <rFont val="Arial"/>
        <family val="2"/>
      </rPr>
      <t xml:space="preserve"> </t>
    </r>
    <r>
      <rPr>
        <sz val="10"/>
        <rFont val="돋움"/>
        <family val="3"/>
        <charset val="129"/>
      </rPr>
      <t>양품</t>
    </r>
    <r>
      <rPr>
        <sz val="10"/>
        <rFont val="Arial"/>
        <family val="2"/>
      </rPr>
      <t>/</t>
    </r>
    <r>
      <rPr>
        <sz val="10"/>
        <rFont val="돋움"/>
        <family val="3"/>
        <charset val="129"/>
      </rPr>
      <t>불량품</t>
    </r>
    <r>
      <rPr>
        <sz val="10"/>
        <rFont val="Arial"/>
        <family val="2"/>
      </rPr>
      <t xml:space="preserve"> </t>
    </r>
    <r>
      <rPr>
        <sz val="10"/>
        <rFont val="돋움"/>
        <family val="3"/>
        <charset val="129"/>
      </rPr>
      <t>설명</t>
    </r>
    <r>
      <rPr>
        <sz val="10"/>
        <rFont val="Arial"/>
        <family val="2"/>
      </rPr>
      <t xml:space="preserve">                                                                                                             </t>
    </r>
  </si>
  <si>
    <r>
      <t>"Statistik D3-D7"file</t>
    </r>
    <r>
      <rPr>
        <sz val="10"/>
        <rFont val="돋움"/>
        <family val="3"/>
        <charset val="129"/>
      </rPr>
      <t>과</t>
    </r>
    <r>
      <rPr>
        <sz val="10"/>
        <rFont val="Arial"/>
        <family val="2"/>
      </rPr>
      <t xml:space="preserve"> </t>
    </r>
    <r>
      <rPr>
        <sz val="10"/>
        <rFont val="돋움"/>
        <family val="3"/>
        <charset val="129"/>
      </rPr>
      <t>시작일</t>
    </r>
    <r>
      <rPr>
        <sz val="10"/>
        <rFont val="Arial"/>
        <family val="2"/>
      </rPr>
      <t xml:space="preserve"> </t>
    </r>
    <r>
      <rPr>
        <sz val="10"/>
        <rFont val="돋움"/>
        <family val="3"/>
        <charset val="129"/>
      </rPr>
      <t>연계</t>
    </r>
    <r>
      <rPr>
        <sz val="10"/>
        <rFont val="Arial"/>
        <family val="2"/>
      </rPr>
      <t xml:space="preserve"> </t>
    </r>
    <r>
      <rPr>
        <sz val="10"/>
        <rFont val="돋움"/>
        <family val="3"/>
        <charset val="129"/>
      </rPr>
      <t xml:space="preserve">되어있음
</t>
    </r>
    <r>
      <rPr>
        <sz val="10"/>
        <rFont val="Arial"/>
        <family val="2"/>
      </rPr>
      <t xml:space="preserve">dd.mm.yyyy </t>
    </r>
    <r>
      <rPr>
        <sz val="10"/>
        <rFont val="돋움"/>
        <family val="3"/>
        <charset val="129"/>
      </rPr>
      <t>형식으로</t>
    </r>
    <r>
      <rPr>
        <sz val="10"/>
        <rFont val="Arial"/>
        <family val="2"/>
      </rPr>
      <t xml:space="preserve"> </t>
    </r>
    <r>
      <rPr>
        <sz val="10"/>
        <rFont val="돋움"/>
        <family val="3"/>
        <charset val="129"/>
      </rPr>
      <t>작성</t>
    </r>
    <r>
      <rPr>
        <sz val="10"/>
        <rFont val="Arial"/>
        <family val="2"/>
      </rPr>
      <t>!</t>
    </r>
  </si>
  <si>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
</t>
    </r>
    <r>
      <rPr>
        <sz val="10"/>
        <rFont val="돋움"/>
        <family val="3"/>
        <charset val="129"/>
      </rPr>
      <t>기대수준</t>
    </r>
    <r>
      <rPr>
        <sz val="10"/>
        <rFont val="Arial"/>
        <family val="2"/>
      </rPr>
      <t xml:space="preserve">:    1 point </t>
    </r>
    <r>
      <rPr>
        <sz val="10"/>
        <rFont val="돋움"/>
        <family val="3"/>
        <charset val="129"/>
      </rPr>
      <t>타</t>
    </r>
    <r>
      <rPr>
        <sz val="10"/>
        <rFont val="Arial"/>
        <family val="2"/>
      </rPr>
      <t xml:space="preserve"> </t>
    </r>
    <r>
      <rPr>
        <sz val="10"/>
        <rFont val="돋움"/>
        <family val="3"/>
        <charset val="129"/>
      </rPr>
      <t>제품에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위험성</t>
    </r>
    <r>
      <rPr>
        <sz val="10"/>
        <rFont val="Arial"/>
        <family val="2"/>
      </rPr>
      <t xml:space="preserve"> </t>
    </r>
    <r>
      <rPr>
        <sz val="10"/>
        <rFont val="돋움"/>
        <family val="3"/>
        <charset val="129"/>
      </rPr>
      <t>확인</t>
    </r>
    <r>
      <rPr>
        <sz val="10"/>
        <rFont val="Arial"/>
        <family val="2"/>
      </rPr>
      <t xml:space="preserve">
</t>
    </r>
    <r>
      <rPr>
        <sz val="10"/>
        <rFont val="돋움"/>
        <family val="3"/>
        <charset val="129"/>
      </rPr>
      <t>좋음</t>
    </r>
    <r>
      <rPr>
        <sz val="10"/>
        <rFont val="Arial"/>
        <family val="2"/>
      </rPr>
      <t xml:space="preserve">: 2 points  </t>
    </r>
    <r>
      <rPr>
        <sz val="10"/>
        <rFont val="돋움"/>
        <family val="3"/>
        <charset val="129"/>
      </rPr>
      <t>타</t>
    </r>
    <r>
      <rPr>
        <sz val="10"/>
        <rFont val="Arial"/>
        <family val="2"/>
      </rPr>
      <t xml:space="preserve"> </t>
    </r>
    <r>
      <rPr>
        <sz val="10"/>
        <rFont val="돋움"/>
        <family val="3"/>
        <charset val="129"/>
      </rPr>
      <t>제품에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위험성</t>
    </r>
    <r>
      <rPr>
        <sz val="10"/>
        <rFont val="Arial"/>
        <family val="2"/>
      </rPr>
      <t xml:space="preserve"> </t>
    </r>
    <r>
      <rPr>
        <sz val="10"/>
        <rFont val="돋움"/>
        <family val="3"/>
        <charset val="129"/>
      </rPr>
      <t>및</t>
    </r>
    <r>
      <rPr>
        <sz val="10"/>
        <rFont val="Arial"/>
        <family val="2"/>
      </rPr>
      <t xml:space="preserve"> </t>
    </r>
    <r>
      <rPr>
        <sz val="10"/>
        <rFont val="돋움"/>
        <family val="3"/>
        <charset val="129"/>
      </rPr>
      <t>품질</t>
    </r>
    <r>
      <rPr>
        <sz val="10"/>
        <rFont val="Arial"/>
        <family val="2"/>
      </rPr>
      <t xml:space="preserve"> </t>
    </r>
    <r>
      <rPr>
        <sz val="10"/>
        <rFont val="돋움"/>
        <family val="3"/>
        <charset val="129"/>
      </rPr>
      <t>보증클레임에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위험성</t>
    </r>
    <r>
      <rPr>
        <sz val="10"/>
        <rFont val="Arial"/>
        <family val="2"/>
      </rPr>
      <t xml:space="preserve"> </t>
    </r>
    <r>
      <rPr>
        <sz val="10"/>
        <rFont val="돋움"/>
        <family val="3"/>
        <charset val="129"/>
      </rPr>
      <t>확인</t>
    </r>
    <r>
      <rPr>
        <sz val="10"/>
        <rFont val="Arial"/>
        <family val="2"/>
      </rPr>
      <t xml:space="preserve">
- </t>
    </r>
    <r>
      <rPr>
        <sz val="10"/>
        <rFont val="돋움"/>
        <family val="3"/>
        <charset val="129"/>
      </rPr>
      <t>다른</t>
    </r>
    <r>
      <rPr>
        <sz val="10"/>
        <rFont val="Arial"/>
        <family val="2"/>
      </rPr>
      <t xml:space="preserve"> </t>
    </r>
    <r>
      <rPr>
        <sz val="10"/>
        <rFont val="돋움"/>
        <family val="3"/>
        <charset val="129"/>
      </rPr>
      <t>제품</t>
    </r>
    <r>
      <rPr>
        <sz val="10"/>
        <rFont val="Arial"/>
        <family val="2"/>
      </rPr>
      <t xml:space="preserve"> </t>
    </r>
    <r>
      <rPr>
        <sz val="10"/>
        <rFont val="돋움"/>
        <family val="3"/>
        <charset val="129"/>
      </rPr>
      <t>혹은</t>
    </r>
    <r>
      <rPr>
        <sz val="10"/>
        <rFont val="Arial"/>
        <family val="2"/>
      </rPr>
      <t xml:space="preserve"> </t>
    </r>
    <r>
      <rPr>
        <sz val="10"/>
        <rFont val="돋움"/>
        <family val="3"/>
        <charset val="129"/>
      </rPr>
      <t>공정에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잠재</t>
    </r>
    <r>
      <rPr>
        <sz val="10"/>
        <rFont val="Arial"/>
        <family val="2"/>
      </rPr>
      <t xml:space="preserve"> </t>
    </r>
    <r>
      <rPr>
        <sz val="10"/>
        <rFont val="돋움"/>
        <family val="3"/>
        <charset val="129"/>
      </rPr>
      <t>위험성이</t>
    </r>
    <r>
      <rPr>
        <sz val="10"/>
        <rFont val="Arial"/>
        <family val="2"/>
      </rPr>
      <t xml:space="preserve"> </t>
    </r>
    <r>
      <rPr>
        <sz val="10"/>
        <rFont val="돋움"/>
        <family val="3"/>
        <charset val="129"/>
      </rPr>
      <t>확인</t>
    </r>
    <r>
      <rPr>
        <sz val="10"/>
        <rFont val="Arial"/>
        <family val="2"/>
      </rPr>
      <t xml:space="preserve"> </t>
    </r>
    <r>
      <rPr>
        <sz val="10"/>
        <rFont val="돋움"/>
        <family val="3"/>
        <charset val="129"/>
      </rPr>
      <t>되고</t>
    </r>
    <r>
      <rPr>
        <sz val="10"/>
        <rFont val="Arial"/>
        <family val="2"/>
      </rPr>
      <t xml:space="preserve"> </t>
    </r>
    <r>
      <rPr>
        <sz val="10"/>
        <rFont val="돋움"/>
        <family val="3"/>
        <charset val="129"/>
      </rPr>
      <t>보고</t>
    </r>
    <r>
      <rPr>
        <sz val="10"/>
        <rFont val="Arial"/>
        <family val="2"/>
      </rPr>
      <t xml:space="preserve"> </t>
    </r>
    <r>
      <rPr>
        <sz val="10"/>
        <rFont val="돋움"/>
        <family val="3"/>
        <charset val="129"/>
      </rPr>
      <t>되었는가</t>
    </r>
    <r>
      <rPr>
        <sz val="10"/>
        <rFont val="Arial"/>
        <family val="2"/>
      </rPr>
      <t>?</t>
    </r>
    <r>
      <rPr>
        <sz val="10"/>
        <rFont val="Arial"/>
        <family val="2"/>
      </rPr>
      <t xml:space="preserve">
- </t>
    </r>
    <r>
      <rPr>
        <sz val="10"/>
        <rFont val="돋움"/>
        <family val="3"/>
        <charset val="129"/>
      </rPr>
      <t>타</t>
    </r>
    <r>
      <rPr>
        <sz val="10"/>
        <rFont val="Arial"/>
        <family val="2"/>
      </rPr>
      <t xml:space="preserve"> </t>
    </r>
    <r>
      <rPr>
        <sz val="10"/>
        <rFont val="돋움"/>
        <family val="3"/>
        <charset val="129"/>
      </rPr>
      <t>공장</t>
    </r>
    <r>
      <rPr>
        <sz val="10"/>
        <rFont val="Arial"/>
        <family val="2"/>
      </rPr>
      <t>/</t>
    </r>
    <r>
      <rPr>
        <sz val="10"/>
        <rFont val="돋움"/>
        <family val="3"/>
        <charset val="129"/>
      </rPr>
      <t>고객사에</t>
    </r>
    <r>
      <rPr>
        <sz val="10"/>
        <rFont val="Arial"/>
        <family val="2"/>
      </rPr>
      <t xml:space="preserve"> </t>
    </r>
    <r>
      <rPr>
        <sz val="10"/>
        <rFont val="돋움"/>
        <family val="3"/>
        <charset val="129"/>
      </rPr>
      <t>알려졌는가</t>
    </r>
    <r>
      <rPr>
        <sz val="10"/>
        <rFont val="Arial"/>
        <family val="2"/>
      </rPr>
      <t>?</t>
    </r>
  </si>
  <si>
    <r>
      <rPr>
        <sz val="10"/>
        <rFont val="돋움"/>
        <family val="3"/>
        <charset val="129"/>
      </rPr>
      <t>타</t>
    </r>
    <r>
      <rPr>
        <sz val="10"/>
        <rFont val="Arial"/>
        <family val="2"/>
      </rPr>
      <t xml:space="preserve"> </t>
    </r>
    <r>
      <rPr>
        <sz val="10"/>
        <rFont val="돋움"/>
        <family val="3"/>
        <charset val="129"/>
      </rPr>
      <t>제품</t>
    </r>
    <r>
      <rPr>
        <sz val="10"/>
        <rFont val="Arial"/>
        <family val="2"/>
      </rPr>
      <t xml:space="preserve"> </t>
    </r>
    <r>
      <rPr>
        <sz val="10"/>
        <rFont val="돋움"/>
        <family val="3"/>
        <charset val="129"/>
      </rPr>
      <t>혹은</t>
    </r>
    <r>
      <rPr>
        <sz val="10"/>
        <rFont val="Arial"/>
        <family val="2"/>
      </rPr>
      <t xml:space="preserve"> </t>
    </r>
    <r>
      <rPr>
        <sz val="10"/>
        <rFont val="돋움"/>
        <family val="3"/>
        <charset val="129"/>
      </rPr>
      <t>공정에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위험</t>
    </r>
    <r>
      <rPr>
        <sz val="10"/>
        <rFont val="Arial"/>
        <family val="2"/>
      </rPr>
      <t>?</t>
    </r>
    <r>
      <rPr>
        <sz val="10"/>
        <rFont val="Arial"/>
        <family val="2"/>
      </rPr>
      <t xml:space="preserve">
</t>
    </r>
    <r>
      <rPr>
        <sz val="10"/>
        <rFont val="돋움"/>
        <family val="3"/>
        <charset val="129"/>
      </rPr>
      <t>타</t>
    </r>
    <r>
      <rPr>
        <sz val="10"/>
        <rFont val="Arial"/>
        <family val="2"/>
      </rPr>
      <t xml:space="preserve"> </t>
    </r>
    <r>
      <rPr>
        <sz val="10"/>
        <rFont val="돋움"/>
        <family val="3"/>
        <charset val="129"/>
      </rPr>
      <t>차량에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영향</t>
    </r>
    <r>
      <rPr>
        <sz val="10"/>
        <rFont val="Arial"/>
        <family val="2"/>
      </rPr>
      <t xml:space="preserve"> </t>
    </r>
    <r>
      <rPr>
        <sz val="10"/>
        <rFont val="돋움"/>
        <family val="3"/>
        <charset val="129"/>
      </rPr>
      <t>가능성</t>
    </r>
    <r>
      <rPr>
        <sz val="10"/>
        <rFont val="Arial"/>
        <family val="2"/>
      </rPr>
      <t>?</t>
    </r>
    <r>
      <rPr>
        <sz val="10"/>
        <rFont val="Arial"/>
        <family val="2"/>
      </rPr>
      <t xml:space="preserve">
</t>
    </r>
    <r>
      <rPr>
        <sz val="10"/>
        <rFont val="돋움"/>
        <family val="3"/>
        <charset val="129"/>
      </rPr>
      <t>동일한</t>
    </r>
    <r>
      <rPr>
        <sz val="10"/>
        <rFont val="Arial"/>
        <family val="2"/>
      </rPr>
      <t xml:space="preserve"> </t>
    </r>
    <r>
      <rPr>
        <sz val="10"/>
        <rFont val="돋움"/>
        <family val="3"/>
        <charset val="129"/>
      </rPr>
      <t>불량</t>
    </r>
    <r>
      <rPr>
        <sz val="10"/>
        <rFont val="Arial"/>
        <family val="2"/>
      </rPr>
      <t xml:space="preserve"> </t>
    </r>
    <r>
      <rPr>
        <sz val="10"/>
        <rFont val="돋움"/>
        <family val="3"/>
        <charset val="129"/>
      </rPr>
      <t>심각성</t>
    </r>
    <r>
      <rPr>
        <sz val="10"/>
        <rFont val="Arial"/>
        <family val="2"/>
      </rPr>
      <t>?</t>
    </r>
    <r>
      <rPr>
        <sz val="10"/>
        <rFont val="Arial"/>
        <family val="2"/>
      </rPr>
      <t xml:space="preserve">
</t>
    </r>
    <r>
      <rPr>
        <sz val="10"/>
        <rFont val="돋움"/>
        <family val="3"/>
        <charset val="129"/>
      </rPr>
      <t>타</t>
    </r>
    <r>
      <rPr>
        <sz val="10"/>
        <rFont val="Arial"/>
        <family val="2"/>
      </rPr>
      <t xml:space="preserve"> </t>
    </r>
    <r>
      <rPr>
        <sz val="10"/>
        <rFont val="돋움"/>
        <family val="3"/>
        <charset val="129"/>
      </rPr>
      <t>공장</t>
    </r>
    <r>
      <rPr>
        <sz val="10"/>
        <rFont val="Arial"/>
        <family val="2"/>
      </rPr>
      <t xml:space="preserve"> </t>
    </r>
    <r>
      <rPr>
        <sz val="10"/>
        <rFont val="돋움"/>
        <family val="3"/>
        <charset val="129"/>
      </rPr>
      <t>알려졌는가</t>
    </r>
    <r>
      <rPr>
        <sz val="10"/>
        <rFont val="Arial"/>
        <family val="2"/>
      </rPr>
      <t>?</t>
    </r>
    <r>
      <rPr>
        <sz val="10"/>
        <rFont val="Arial"/>
        <family val="2"/>
      </rPr>
      <t xml:space="preserve">
</t>
    </r>
    <r>
      <rPr>
        <sz val="10"/>
        <rFont val="돋움"/>
        <family val="3"/>
        <charset val="129"/>
      </rPr>
      <t>불량이</t>
    </r>
    <r>
      <rPr>
        <sz val="10"/>
        <rFont val="Arial"/>
        <family val="2"/>
      </rPr>
      <t xml:space="preserve"> </t>
    </r>
    <r>
      <rPr>
        <sz val="10"/>
        <rFont val="돋움"/>
        <family val="3"/>
        <charset val="129"/>
      </rPr>
      <t>어떻게</t>
    </r>
    <r>
      <rPr>
        <sz val="10"/>
        <rFont val="Arial"/>
        <family val="2"/>
      </rPr>
      <t xml:space="preserve"> </t>
    </r>
    <r>
      <rPr>
        <sz val="10"/>
        <rFont val="돋움"/>
        <family val="3"/>
        <charset val="129"/>
      </rPr>
      <t>발견</t>
    </r>
    <r>
      <rPr>
        <sz val="10"/>
        <rFont val="Arial"/>
        <family val="2"/>
      </rPr>
      <t xml:space="preserve"> </t>
    </r>
    <r>
      <rPr>
        <sz val="10"/>
        <rFont val="돋움"/>
        <family val="3"/>
        <charset val="129"/>
      </rPr>
      <t>될</t>
    </r>
    <r>
      <rPr>
        <sz val="10"/>
        <rFont val="Arial"/>
        <family val="2"/>
      </rPr>
      <t xml:space="preserve"> </t>
    </r>
    <r>
      <rPr>
        <sz val="10"/>
        <rFont val="돋움"/>
        <family val="3"/>
        <charset val="129"/>
      </rPr>
      <t>수</t>
    </r>
    <r>
      <rPr>
        <sz val="10"/>
        <rFont val="Arial"/>
        <family val="2"/>
      </rPr>
      <t xml:space="preserve"> </t>
    </r>
    <r>
      <rPr>
        <sz val="10"/>
        <rFont val="돋움"/>
        <family val="3"/>
        <charset val="129"/>
      </rPr>
      <t>있는가</t>
    </r>
    <r>
      <rPr>
        <sz val="10"/>
        <rFont val="Arial"/>
        <family val="2"/>
      </rPr>
      <t xml:space="preserve">?
</t>
    </r>
    <r>
      <rPr>
        <sz val="10"/>
        <rFont val="돋움"/>
        <family val="3"/>
        <charset val="129"/>
      </rPr>
      <t>잠재</t>
    </r>
    <r>
      <rPr>
        <sz val="10"/>
        <rFont val="Arial"/>
        <family val="2"/>
      </rPr>
      <t xml:space="preserve"> </t>
    </r>
    <r>
      <rPr>
        <sz val="10"/>
        <rFont val="돋움"/>
        <family val="3"/>
        <charset val="129"/>
      </rPr>
      <t>문제</t>
    </r>
    <r>
      <rPr>
        <sz val="10"/>
        <rFont val="Arial"/>
        <family val="2"/>
      </rPr>
      <t xml:space="preserve"> </t>
    </r>
    <r>
      <rPr>
        <sz val="10"/>
        <rFont val="돋움"/>
        <family val="3"/>
        <charset val="129"/>
      </rPr>
      <t>수량</t>
    </r>
    <r>
      <rPr>
        <sz val="10"/>
        <rFont val="Arial"/>
        <family val="2"/>
      </rPr>
      <t>?</t>
    </r>
  </si>
  <si>
    <r>
      <rPr>
        <sz val="10"/>
        <rFont val="돋움"/>
        <family val="3"/>
        <charset val="129"/>
      </rPr>
      <t>문제가</t>
    </r>
    <r>
      <rPr>
        <sz val="10"/>
        <rFont val="Arial"/>
        <family val="2"/>
      </rPr>
      <t xml:space="preserve"> </t>
    </r>
    <r>
      <rPr>
        <sz val="10"/>
        <rFont val="돋움"/>
        <family val="3"/>
        <charset val="129"/>
      </rPr>
      <t>발견</t>
    </r>
    <r>
      <rPr>
        <sz val="10"/>
        <rFont val="Arial"/>
        <family val="2"/>
      </rPr>
      <t xml:space="preserve"> </t>
    </r>
    <r>
      <rPr>
        <sz val="10"/>
        <rFont val="돋움"/>
        <family val="3"/>
        <charset val="129"/>
      </rPr>
      <t>되기</t>
    </r>
    <r>
      <rPr>
        <sz val="10"/>
        <rFont val="Arial"/>
        <family val="2"/>
      </rPr>
      <t xml:space="preserve"> </t>
    </r>
    <r>
      <rPr>
        <sz val="10"/>
        <rFont val="돋움"/>
        <family val="3"/>
        <charset val="129"/>
      </rPr>
      <t>전</t>
    </r>
    <r>
      <rPr>
        <sz val="10"/>
        <rFont val="Arial"/>
        <family val="2"/>
      </rPr>
      <t xml:space="preserve"> </t>
    </r>
    <r>
      <rPr>
        <sz val="10"/>
        <rFont val="돋움"/>
        <family val="3"/>
        <charset val="129"/>
      </rPr>
      <t>납품</t>
    </r>
    <r>
      <rPr>
        <sz val="10"/>
        <rFont val="Arial"/>
        <family val="2"/>
      </rPr>
      <t xml:space="preserve"> </t>
    </r>
    <r>
      <rPr>
        <sz val="10"/>
        <rFont val="돋움"/>
        <family val="3"/>
        <charset val="129"/>
      </rPr>
      <t>된</t>
    </r>
    <r>
      <rPr>
        <sz val="10"/>
        <rFont val="Arial"/>
        <family val="2"/>
      </rPr>
      <t xml:space="preserve"> </t>
    </r>
    <r>
      <rPr>
        <sz val="10"/>
        <rFont val="돋움"/>
        <family val="3"/>
        <charset val="129"/>
      </rPr>
      <t>수량</t>
    </r>
    <r>
      <rPr>
        <sz val="10"/>
        <rFont val="Arial"/>
        <family val="2"/>
      </rPr>
      <t xml:space="preserve">?
</t>
    </r>
    <r>
      <rPr>
        <sz val="10"/>
        <rFont val="돋움"/>
        <family val="3"/>
        <charset val="129"/>
      </rPr>
      <t>특정</t>
    </r>
    <r>
      <rPr>
        <sz val="10"/>
        <rFont val="Arial"/>
        <family val="2"/>
      </rPr>
      <t xml:space="preserve"> </t>
    </r>
    <r>
      <rPr>
        <sz val="10"/>
        <rFont val="돋움"/>
        <family val="3"/>
        <charset val="129"/>
      </rPr>
      <t>납품</t>
    </r>
    <r>
      <rPr>
        <sz val="10"/>
        <rFont val="Arial"/>
        <family val="2"/>
      </rPr>
      <t>/charge</t>
    </r>
    <r>
      <rPr>
        <sz val="10"/>
        <rFont val="돋움"/>
        <family val="3"/>
        <charset val="129"/>
      </rPr>
      <t>에</t>
    </r>
    <r>
      <rPr>
        <sz val="10"/>
        <rFont val="Arial"/>
        <family val="2"/>
      </rPr>
      <t xml:space="preserve"> </t>
    </r>
    <r>
      <rPr>
        <sz val="10"/>
        <rFont val="돋움"/>
        <family val="3"/>
        <charset val="129"/>
      </rPr>
      <t>대해</t>
    </r>
    <r>
      <rPr>
        <sz val="10"/>
        <rFont val="Arial"/>
        <family val="2"/>
      </rPr>
      <t xml:space="preserve"> </t>
    </r>
    <r>
      <rPr>
        <sz val="10"/>
        <rFont val="돋움"/>
        <family val="3"/>
        <charset val="129"/>
      </rPr>
      <t>불량의</t>
    </r>
    <r>
      <rPr>
        <sz val="10"/>
        <rFont val="Arial"/>
        <family val="2"/>
      </rPr>
      <t xml:space="preserve"> </t>
    </r>
    <r>
      <rPr>
        <sz val="10"/>
        <rFont val="돋움"/>
        <family val="3"/>
        <charset val="129"/>
      </rPr>
      <t>범위를</t>
    </r>
    <r>
      <rPr>
        <sz val="10"/>
        <rFont val="Arial"/>
        <family val="2"/>
      </rPr>
      <t xml:space="preserve"> </t>
    </r>
    <r>
      <rPr>
        <sz val="10"/>
        <rFont val="돋움"/>
        <family val="3"/>
        <charset val="129"/>
      </rPr>
      <t>감소</t>
    </r>
    <r>
      <rPr>
        <sz val="10"/>
        <rFont val="Arial"/>
        <family val="2"/>
      </rPr>
      <t xml:space="preserve"> </t>
    </r>
    <r>
      <rPr>
        <sz val="10"/>
        <rFont val="돋움"/>
        <family val="3"/>
        <charset val="129"/>
      </rPr>
      <t>시킬</t>
    </r>
    <r>
      <rPr>
        <sz val="10"/>
        <rFont val="Arial"/>
        <family val="2"/>
      </rPr>
      <t xml:space="preserve"> </t>
    </r>
    <r>
      <rPr>
        <sz val="10"/>
        <rFont val="돋움"/>
        <family val="3"/>
        <charset val="129"/>
      </rPr>
      <t>수</t>
    </r>
    <r>
      <rPr>
        <sz val="10"/>
        <rFont val="Arial"/>
        <family val="2"/>
      </rPr>
      <t xml:space="preserve"> </t>
    </r>
    <r>
      <rPr>
        <sz val="10"/>
        <rFont val="돋움"/>
        <family val="3"/>
        <charset val="129"/>
      </rPr>
      <t>있는가</t>
    </r>
    <r>
      <rPr>
        <sz val="10"/>
        <rFont val="Arial"/>
        <family val="2"/>
      </rPr>
      <t>?</t>
    </r>
  </si>
  <si>
    <r>
      <rPr>
        <sz val="10"/>
        <rFont val="돋움"/>
        <family val="3"/>
        <charset val="129"/>
      </rPr>
      <t>평가</t>
    </r>
    <r>
      <rPr>
        <sz val="10"/>
        <rFont val="Arial"/>
        <family val="2"/>
      </rPr>
      <t>:</t>
    </r>
    <r>
      <rPr>
        <sz val="10"/>
        <rFont val="Arial"/>
        <family val="2"/>
      </rPr>
      <t xml:space="preserve">
</t>
    </r>
    <r>
      <rPr>
        <sz val="10"/>
        <rFont val="돋움"/>
        <family val="3"/>
        <charset val="129"/>
      </rPr>
      <t>나쁨</t>
    </r>
    <r>
      <rPr>
        <sz val="10"/>
        <rFont val="Arial"/>
        <family val="2"/>
      </rPr>
      <t xml:space="preserve">:  </t>
    </r>
    <r>
      <rPr>
        <sz val="10"/>
        <rFont val="Arial"/>
        <family val="2"/>
      </rPr>
      <t>0</t>
    </r>
    <r>
      <rPr>
        <sz val="10"/>
        <rFont val="Arial"/>
        <family val="2"/>
      </rPr>
      <t xml:space="preserve"> </t>
    </r>
    <r>
      <rPr>
        <sz val="10"/>
        <rFont val="Arial"/>
        <family val="2"/>
      </rPr>
      <t>points</t>
    </r>
    <r>
      <rPr>
        <sz val="10"/>
        <rFont val="Arial"/>
        <family val="2"/>
      </rPr>
      <t xml:space="preserve">
</t>
    </r>
    <r>
      <rPr>
        <sz val="10"/>
        <rFont val="돋움"/>
        <family val="3"/>
        <charset val="129"/>
      </rPr>
      <t>기대수준</t>
    </r>
    <r>
      <rPr>
        <sz val="10"/>
        <rFont val="Arial"/>
        <family val="2"/>
      </rPr>
      <t>:</t>
    </r>
    <r>
      <rPr>
        <sz val="10"/>
        <rFont val="Arial"/>
        <family val="2"/>
      </rPr>
      <t xml:space="preserve">    </t>
    </r>
    <r>
      <rPr>
        <sz val="10"/>
        <rFont val="Arial"/>
        <family val="2"/>
      </rPr>
      <t>1</t>
    </r>
    <r>
      <rPr>
        <sz val="10"/>
        <rFont val="Arial"/>
        <family val="2"/>
      </rPr>
      <t xml:space="preserve"> </t>
    </r>
    <r>
      <rPr>
        <sz val="10"/>
        <rFont val="Arial"/>
        <family val="2"/>
      </rPr>
      <t>point</t>
    </r>
    <r>
      <rPr>
        <sz val="10"/>
        <rFont val="Arial"/>
        <family val="2"/>
      </rPr>
      <t xml:space="preserve">
</t>
    </r>
    <r>
      <rPr>
        <sz val="10"/>
        <rFont val="돋움"/>
        <family val="3"/>
        <charset val="129"/>
      </rPr>
      <t>좋음</t>
    </r>
    <r>
      <rPr>
        <sz val="10"/>
        <rFont val="Arial"/>
        <family val="2"/>
      </rPr>
      <t>:</t>
    </r>
    <r>
      <rPr>
        <sz val="10"/>
        <rFont val="Arial"/>
        <family val="2"/>
      </rPr>
      <t xml:space="preserve"> </t>
    </r>
    <r>
      <rPr>
        <sz val="10"/>
        <rFont val="Arial"/>
        <family val="2"/>
      </rPr>
      <t>2</t>
    </r>
    <r>
      <rPr>
        <sz val="10"/>
        <rFont val="Arial"/>
        <family val="2"/>
      </rPr>
      <t xml:space="preserve"> </t>
    </r>
    <r>
      <rPr>
        <sz val="10"/>
        <rFont val="Arial"/>
        <family val="2"/>
      </rPr>
      <t>points</t>
    </r>
    <r>
      <rPr>
        <sz val="10"/>
        <rFont val="Arial"/>
        <family val="2"/>
      </rPr>
      <t xml:space="preserve"> </t>
    </r>
    <r>
      <rPr>
        <sz val="10"/>
        <rFont val="Arial"/>
        <family val="2"/>
      </rPr>
      <t>(</t>
    </r>
    <r>
      <rPr>
        <sz val="10"/>
        <rFont val="Arial"/>
        <family val="2"/>
      </rPr>
      <t xml:space="preserve"> </t>
    </r>
    <r>
      <rPr>
        <sz val="10"/>
        <rFont val="돋움"/>
        <family val="3"/>
        <charset val="129"/>
      </rPr>
      <t>격리</t>
    </r>
    <r>
      <rPr>
        <sz val="10"/>
        <rFont val="Arial"/>
        <family val="2"/>
      </rPr>
      <t xml:space="preserve"> </t>
    </r>
    <r>
      <rPr>
        <sz val="10"/>
        <rFont val="돋움"/>
        <family val="3"/>
        <charset val="129"/>
      </rPr>
      <t>조치에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자세한</t>
    </r>
    <r>
      <rPr>
        <sz val="10"/>
        <rFont val="Arial"/>
        <family val="2"/>
      </rPr>
      <t xml:space="preserve"> </t>
    </r>
    <r>
      <rPr>
        <sz val="10"/>
        <rFont val="돋움"/>
        <family val="3"/>
        <charset val="129"/>
      </rPr>
      <t>설명</t>
    </r>
    <r>
      <rPr>
        <sz val="10"/>
        <rFont val="Arial"/>
        <family val="2"/>
      </rPr>
      <t>;</t>
    </r>
    <r>
      <rPr>
        <sz val="10"/>
        <rFont val="Arial"/>
        <family val="2"/>
      </rPr>
      <t xml:space="preserve"> </t>
    </r>
    <r>
      <rPr>
        <sz val="10"/>
        <rFont val="Arial"/>
        <family val="2"/>
      </rPr>
      <t>clear</t>
    </r>
    <r>
      <rPr>
        <sz val="10"/>
        <rFont val="Arial"/>
        <family val="2"/>
      </rPr>
      <t xml:space="preserve"> </t>
    </r>
    <r>
      <rPr>
        <sz val="10"/>
        <rFont val="Arial"/>
        <family val="2"/>
      </rPr>
      <t>definition</t>
    </r>
    <r>
      <rPr>
        <sz val="10"/>
        <rFont val="Arial"/>
        <family val="2"/>
      </rPr>
      <t xml:space="preserve"> </t>
    </r>
    <r>
      <rPr>
        <sz val="10"/>
        <rFont val="Arial"/>
        <family val="2"/>
      </rPr>
      <t>of</t>
    </r>
    <r>
      <rPr>
        <sz val="10"/>
        <rFont val="Arial"/>
        <family val="2"/>
      </rPr>
      <t xml:space="preserve"> </t>
    </r>
    <r>
      <rPr>
        <sz val="10"/>
        <rFont val="Arial"/>
        <family val="2"/>
      </rPr>
      <t>Clean</t>
    </r>
    <r>
      <rPr>
        <sz val="10"/>
        <rFont val="Arial"/>
        <family val="2"/>
      </rPr>
      <t xml:space="preserve"> </t>
    </r>
    <r>
      <rPr>
        <sz val="10"/>
        <rFont val="Arial"/>
        <family val="2"/>
      </rPr>
      <t>Point)</t>
    </r>
    <r>
      <rPr>
        <sz val="10"/>
        <rFont val="Arial"/>
        <family val="2"/>
      </rPr>
      <t xml:space="preserve">
</t>
    </r>
    <r>
      <rPr>
        <sz val="10"/>
        <rFont val="Arial"/>
        <family val="2"/>
      </rPr>
      <t>-</t>
    </r>
    <r>
      <rPr>
        <sz val="10"/>
        <rFont val="Arial"/>
        <family val="2"/>
      </rPr>
      <t xml:space="preserve"> </t>
    </r>
    <r>
      <rPr>
        <sz val="10"/>
        <rFont val="Arial"/>
        <family val="2"/>
      </rPr>
      <t>Was</t>
    </r>
    <r>
      <rPr>
        <sz val="10"/>
        <rFont val="Arial"/>
        <family val="2"/>
      </rPr>
      <t xml:space="preserve"> </t>
    </r>
    <r>
      <rPr>
        <sz val="10"/>
        <rFont val="Arial"/>
        <family val="2"/>
      </rPr>
      <t>the</t>
    </r>
    <r>
      <rPr>
        <sz val="10"/>
        <rFont val="Arial"/>
        <family val="2"/>
      </rPr>
      <t xml:space="preserve"> </t>
    </r>
    <r>
      <rPr>
        <sz val="10"/>
        <rFont val="Arial"/>
        <family val="2"/>
      </rPr>
      <t>containment</t>
    </r>
    <r>
      <rPr>
        <sz val="10"/>
        <rFont val="Arial"/>
        <family val="2"/>
      </rPr>
      <t xml:space="preserve"> </t>
    </r>
    <r>
      <rPr>
        <sz val="10"/>
        <rFont val="Arial"/>
        <family val="2"/>
      </rPr>
      <t>action</t>
    </r>
    <r>
      <rPr>
        <sz val="10"/>
        <rFont val="Arial"/>
        <family val="2"/>
      </rPr>
      <t xml:space="preserve"> </t>
    </r>
    <r>
      <rPr>
        <sz val="10"/>
        <rFont val="Arial"/>
        <family val="2"/>
      </rPr>
      <t>described</t>
    </r>
    <r>
      <rPr>
        <sz val="10"/>
        <rFont val="Arial"/>
        <family val="2"/>
      </rPr>
      <t xml:space="preserve"> </t>
    </r>
    <r>
      <rPr>
        <sz val="10"/>
        <rFont val="Arial"/>
        <family val="2"/>
      </rPr>
      <t>in</t>
    </r>
    <r>
      <rPr>
        <sz val="10"/>
        <rFont val="Arial"/>
        <family val="2"/>
      </rPr>
      <t xml:space="preserve"> </t>
    </r>
    <r>
      <rPr>
        <sz val="10"/>
        <rFont val="Arial"/>
        <family val="2"/>
      </rPr>
      <t>detail</t>
    </r>
    <r>
      <rPr>
        <sz val="10"/>
        <rFont val="Arial"/>
        <family val="2"/>
      </rPr>
      <t xml:space="preserve"> </t>
    </r>
    <r>
      <rPr>
        <sz val="10"/>
        <rFont val="Arial"/>
        <family val="2"/>
      </rPr>
      <t>and</t>
    </r>
    <r>
      <rPr>
        <sz val="10"/>
        <rFont val="Arial"/>
        <family val="2"/>
      </rPr>
      <t xml:space="preserve"> </t>
    </r>
    <r>
      <rPr>
        <sz val="10"/>
        <rFont val="Arial"/>
        <family val="2"/>
      </rPr>
      <t>was</t>
    </r>
    <r>
      <rPr>
        <sz val="10"/>
        <rFont val="Arial"/>
        <family val="2"/>
      </rPr>
      <t xml:space="preserve"> </t>
    </r>
    <r>
      <rPr>
        <sz val="10"/>
        <rFont val="Arial"/>
        <family val="2"/>
      </rPr>
      <t>a</t>
    </r>
    <r>
      <rPr>
        <sz val="10"/>
        <rFont val="Arial"/>
        <family val="2"/>
      </rPr>
      <t xml:space="preserve"> </t>
    </r>
    <r>
      <rPr>
        <sz val="10"/>
        <rFont val="Arial"/>
        <family val="2"/>
      </rPr>
      <t>working</t>
    </r>
    <r>
      <rPr>
        <sz val="10"/>
        <rFont val="Arial"/>
        <family val="2"/>
      </rPr>
      <t xml:space="preserve"> </t>
    </r>
    <r>
      <rPr>
        <sz val="10"/>
        <rFont val="Arial"/>
        <family val="2"/>
      </rPr>
      <t>instruction</t>
    </r>
    <r>
      <rPr>
        <sz val="10"/>
        <rFont val="Arial"/>
        <family val="2"/>
      </rPr>
      <t xml:space="preserve"> </t>
    </r>
    <r>
      <rPr>
        <sz val="10"/>
        <rFont val="Arial"/>
        <family val="2"/>
      </rPr>
      <t>created?</t>
    </r>
    <r>
      <rPr>
        <sz val="10"/>
        <rFont val="Arial"/>
        <family val="2"/>
      </rPr>
      <t xml:space="preserve">  
</t>
    </r>
    <r>
      <rPr>
        <sz val="10"/>
        <rFont val="Arial"/>
        <family val="2"/>
      </rPr>
      <t xml:space="preserve">- </t>
    </r>
    <r>
      <rPr>
        <sz val="10"/>
        <rFont val="돋움"/>
        <family val="3"/>
        <charset val="129"/>
      </rPr>
      <t>실데이터</t>
    </r>
    <r>
      <rPr>
        <sz val="10"/>
        <rFont val="Arial"/>
        <family val="2"/>
      </rPr>
      <t xml:space="preserve"> </t>
    </r>
    <r>
      <rPr>
        <sz val="10"/>
        <rFont val="돋움"/>
        <family val="3"/>
        <charset val="129"/>
      </rPr>
      <t>존재</t>
    </r>
    <r>
      <rPr>
        <sz val="10"/>
        <rFont val="Arial"/>
        <family val="2"/>
      </rPr>
      <t xml:space="preserve">? </t>
    </r>
    <r>
      <rPr>
        <sz val="10"/>
        <rFont val="Arial"/>
        <family val="2"/>
      </rPr>
      <t xml:space="preserve"> </t>
    </r>
    <r>
      <rPr>
        <sz val="10"/>
        <rFont val="돋움"/>
        <family val="3"/>
        <charset val="129"/>
      </rPr>
      <t>선별</t>
    </r>
    <r>
      <rPr>
        <sz val="10"/>
        <rFont val="Arial"/>
        <family val="2"/>
      </rPr>
      <t xml:space="preserve"> </t>
    </r>
    <r>
      <rPr>
        <sz val="10"/>
        <rFont val="돋움"/>
        <family val="3"/>
        <charset val="129"/>
      </rPr>
      <t>중</t>
    </r>
    <r>
      <rPr>
        <sz val="10"/>
        <rFont val="Arial"/>
        <family val="2"/>
      </rPr>
      <t xml:space="preserve"> </t>
    </r>
    <r>
      <rPr>
        <sz val="10"/>
        <rFont val="돋움"/>
        <family val="3"/>
        <charset val="129"/>
      </rPr>
      <t>문제</t>
    </r>
    <r>
      <rPr>
        <sz val="10"/>
        <rFont val="Arial"/>
        <family val="2"/>
      </rPr>
      <t xml:space="preserve"> </t>
    </r>
    <r>
      <rPr>
        <sz val="10"/>
        <rFont val="돋움"/>
        <family val="3"/>
        <charset val="129"/>
      </rPr>
      <t>규명을</t>
    </r>
    <r>
      <rPr>
        <sz val="10"/>
        <rFont val="Arial"/>
        <family val="2"/>
      </rPr>
      <t xml:space="preserve"> </t>
    </r>
    <r>
      <rPr>
        <sz val="10"/>
        <rFont val="돋움"/>
        <family val="3"/>
        <charset val="129"/>
      </rPr>
      <t>위해</t>
    </r>
    <r>
      <rPr>
        <sz val="10"/>
        <rFont val="Arial"/>
        <family val="2"/>
      </rPr>
      <t xml:space="preserve"> </t>
    </r>
    <r>
      <rPr>
        <sz val="10"/>
        <rFont val="돋움"/>
        <family val="3"/>
        <charset val="129"/>
      </rPr>
      <t>최대한의</t>
    </r>
    <r>
      <rPr>
        <sz val="10"/>
        <rFont val="Arial"/>
        <family val="2"/>
      </rPr>
      <t xml:space="preserve"> </t>
    </r>
    <r>
      <rPr>
        <sz val="10"/>
        <rFont val="돋움"/>
        <family val="3"/>
        <charset val="129"/>
      </rPr>
      <t>데이터를</t>
    </r>
    <r>
      <rPr>
        <sz val="10"/>
        <rFont val="Arial"/>
        <family val="2"/>
      </rPr>
      <t xml:space="preserve"> </t>
    </r>
    <r>
      <rPr>
        <sz val="10"/>
        <rFont val="돋움"/>
        <family val="3"/>
        <charset val="129"/>
      </rPr>
      <t>작성하였는가</t>
    </r>
    <r>
      <rPr>
        <sz val="10"/>
        <rFont val="Arial"/>
        <family val="2"/>
      </rPr>
      <t>?</t>
    </r>
    <r>
      <rPr>
        <sz val="10"/>
        <rFont val="Arial"/>
        <family val="2"/>
      </rPr>
      <t xml:space="preserve">
</t>
    </r>
    <r>
      <rPr>
        <sz val="10"/>
        <rFont val="Arial"/>
        <family val="2"/>
      </rPr>
      <t>-</t>
    </r>
    <r>
      <rPr>
        <sz val="10"/>
        <rFont val="Arial"/>
        <family val="2"/>
      </rPr>
      <t xml:space="preserve"> </t>
    </r>
    <r>
      <rPr>
        <sz val="10"/>
        <rFont val="돋움"/>
        <family val="3"/>
        <charset val="129"/>
      </rPr>
      <t>고객사</t>
    </r>
    <r>
      <rPr>
        <sz val="10"/>
        <rFont val="Arial"/>
        <family val="2"/>
      </rPr>
      <t xml:space="preserve"> </t>
    </r>
    <r>
      <rPr>
        <sz val="10"/>
        <rFont val="돋움"/>
        <family val="3"/>
        <charset val="129"/>
      </rPr>
      <t>보호를</t>
    </r>
    <r>
      <rPr>
        <sz val="10"/>
        <rFont val="Arial"/>
        <family val="2"/>
      </rPr>
      <t xml:space="preserve"> </t>
    </r>
    <r>
      <rPr>
        <sz val="10"/>
        <rFont val="돋움"/>
        <family val="3"/>
        <charset val="129"/>
      </rPr>
      <t>위해</t>
    </r>
    <r>
      <rPr>
        <sz val="10"/>
        <rFont val="Arial"/>
        <family val="2"/>
      </rPr>
      <t xml:space="preserve"> </t>
    </r>
    <r>
      <rPr>
        <sz val="10"/>
        <rFont val="돋움"/>
        <family val="3"/>
        <charset val="129"/>
      </rPr>
      <t>유사품에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조치가</t>
    </r>
    <r>
      <rPr>
        <sz val="10"/>
        <rFont val="Arial"/>
        <family val="2"/>
      </rPr>
      <t xml:space="preserve"> </t>
    </r>
    <r>
      <rPr>
        <sz val="10"/>
        <rFont val="돋움"/>
        <family val="3"/>
        <charset val="129"/>
      </rPr>
      <t>취해졌는가</t>
    </r>
    <r>
      <rPr>
        <sz val="10"/>
        <rFont val="Arial"/>
        <family val="2"/>
      </rPr>
      <t>?</t>
    </r>
  </si>
  <si>
    <r>
      <rPr>
        <sz val="10"/>
        <rFont val="돋움"/>
        <family val="3"/>
        <charset val="129"/>
      </rPr>
      <t>어떻게</t>
    </r>
    <r>
      <rPr>
        <sz val="10"/>
        <rFont val="Arial"/>
        <family val="2"/>
      </rPr>
      <t xml:space="preserve"> </t>
    </r>
    <r>
      <rPr>
        <sz val="10"/>
        <rFont val="돋움"/>
        <family val="3"/>
        <charset val="129"/>
      </rPr>
      <t>확인</t>
    </r>
    <r>
      <rPr>
        <sz val="10"/>
        <rFont val="Arial"/>
        <family val="2"/>
      </rPr>
      <t xml:space="preserve"> </t>
    </r>
    <r>
      <rPr>
        <sz val="10"/>
        <rFont val="돋움"/>
        <family val="3"/>
        <charset val="129"/>
      </rPr>
      <t>되었는가</t>
    </r>
    <r>
      <rPr>
        <sz val="10"/>
        <rFont val="Arial"/>
        <family val="2"/>
      </rPr>
      <t xml:space="preserve">?
</t>
    </r>
    <r>
      <rPr>
        <sz val="10"/>
        <rFont val="돋움"/>
        <family val="3"/>
        <charset val="129"/>
      </rPr>
      <t>양품에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마킹은</t>
    </r>
    <r>
      <rPr>
        <sz val="10"/>
        <rFont val="Arial"/>
        <family val="2"/>
      </rPr>
      <t xml:space="preserve"> </t>
    </r>
    <r>
      <rPr>
        <sz val="10"/>
        <rFont val="돋움"/>
        <family val="3"/>
        <charset val="129"/>
      </rPr>
      <t>어떻게</t>
    </r>
    <r>
      <rPr>
        <sz val="10"/>
        <rFont val="Arial"/>
        <family val="2"/>
      </rPr>
      <t xml:space="preserve"> </t>
    </r>
    <r>
      <rPr>
        <sz val="10"/>
        <rFont val="돋움"/>
        <family val="3"/>
        <charset val="129"/>
      </rPr>
      <t>되었는가</t>
    </r>
    <r>
      <rPr>
        <sz val="10"/>
        <rFont val="Arial"/>
        <family val="2"/>
      </rPr>
      <t>?</t>
    </r>
  </si>
  <si>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points
</t>
    </r>
    <r>
      <rPr>
        <sz val="10"/>
        <rFont val="돋움"/>
        <family val="3"/>
        <charset val="129"/>
      </rPr>
      <t>기대수준</t>
    </r>
    <r>
      <rPr>
        <sz val="10"/>
        <rFont val="Arial"/>
        <family val="2"/>
      </rPr>
      <t xml:space="preserve">:    1 point
</t>
    </r>
    <r>
      <rPr>
        <sz val="10"/>
        <rFont val="돋움"/>
        <family val="3"/>
        <charset val="129"/>
      </rPr>
      <t>좋음</t>
    </r>
    <r>
      <rPr>
        <sz val="10"/>
        <rFont val="Arial"/>
        <family val="2"/>
      </rPr>
      <t xml:space="preserve">: </t>
    </r>
    <r>
      <rPr>
        <sz val="10"/>
        <rFont val="돋움"/>
        <family val="3"/>
        <charset val="129"/>
      </rPr>
      <t>기대</t>
    </r>
    <r>
      <rPr>
        <sz val="10"/>
        <rFont val="Arial"/>
        <family val="2"/>
      </rPr>
      <t xml:space="preserve"> </t>
    </r>
    <r>
      <rPr>
        <sz val="10"/>
        <rFont val="돋움"/>
        <family val="3"/>
        <charset val="129"/>
      </rPr>
      <t>이상</t>
    </r>
    <r>
      <rPr>
        <sz val="10"/>
        <rFont val="Arial"/>
        <family val="2"/>
      </rPr>
      <t xml:space="preserve">: 2 points
</t>
    </r>
    <r>
      <rPr>
        <sz val="10"/>
        <rFont val="돋움"/>
        <family val="3"/>
        <charset val="129"/>
      </rPr>
      <t>왜</t>
    </r>
    <r>
      <rPr>
        <sz val="10"/>
        <rFont val="Arial"/>
        <family val="2"/>
      </rPr>
      <t xml:space="preserve"> </t>
    </r>
    <r>
      <rPr>
        <sz val="10"/>
        <rFont val="돋움"/>
        <family val="3"/>
        <charset val="129"/>
      </rPr>
      <t>발견</t>
    </r>
    <r>
      <rPr>
        <sz val="10"/>
        <rFont val="Arial"/>
        <family val="2"/>
      </rPr>
      <t xml:space="preserve"> </t>
    </r>
    <r>
      <rPr>
        <sz val="10"/>
        <rFont val="돋움"/>
        <family val="3"/>
        <charset val="129"/>
      </rPr>
      <t>되지</t>
    </r>
    <r>
      <rPr>
        <sz val="10"/>
        <rFont val="Arial"/>
        <family val="2"/>
      </rPr>
      <t xml:space="preserve"> </t>
    </r>
    <r>
      <rPr>
        <sz val="10"/>
        <rFont val="돋움"/>
        <family val="3"/>
        <charset val="129"/>
      </rPr>
      <t>않았는가</t>
    </r>
    <r>
      <rPr>
        <sz val="10"/>
        <rFont val="Arial"/>
        <family val="2"/>
      </rPr>
      <t xml:space="preserve">?
- </t>
    </r>
    <r>
      <rPr>
        <sz val="10"/>
        <rFont val="돋움"/>
        <family val="3"/>
        <charset val="129"/>
      </rPr>
      <t>미발견</t>
    </r>
    <r>
      <rPr>
        <sz val="10"/>
        <rFont val="Arial"/>
        <family val="2"/>
      </rPr>
      <t xml:space="preserve"> </t>
    </r>
    <r>
      <rPr>
        <sz val="10"/>
        <rFont val="돋움"/>
        <family val="3"/>
        <charset val="129"/>
      </rPr>
      <t>발생</t>
    </r>
    <r>
      <rPr>
        <sz val="10"/>
        <rFont val="Arial"/>
        <family val="2"/>
      </rPr>
      <t xml:space="preserve"> </t>
    </r>
    <r>
      <rPr>
        <sz val="10"/>
        <rFont val="돋움"/>
        <family val="3"/>
        <charset val="129"/>
      </rPr>
      <t>원인</t>
    </r>
    <r>
      <rPr>
        <sz val="10"/>
        <rFont val="Arial"/>
        <family val="2"/>
      </rPr>
      <t xml:space="preserve">:
- </t>
    </r>
    <r>
      <rPr>
        <sz val="10"/>
        <rFont val="돋움"/>
        <family val="3"/>
        <charset val="129"/>
      </rPr>
      <t>원인이</t>
    </r>
    <r>
      <rPr>
        <sz val="10"/>
        <rFont val="Arial"/>
        <family val="2"/>
      </rPr>
      <t xml:space="preserve"> </t>
    </r>
    <r>
      <rPr>
        <sz val="10"/>
        <rFont val="돋움"/>
        <family val="3"/>
        <charset val="129"/>
      </rPr>
      <t>논리적으로</t>
    </r>
    <r>
      <rPr>
        <sz val="10"/>
        <rFont val="Arial"/>
        <family val="2"/>
      </rPr>
      <t xml:space="preserve"> </t>
    </r>
    <r>
      <rPr>
        <sz val="10"/>
        <rFont val="돋움"/>
        <family val="3"/>
        <charset val="129"/>
      </rPr>
      <t>인증</t>
    </r>
    <r>
      <rPr>
        <sz val="10"/>
        <rFont val="Arial"/>
        <family val="2"/>
      </rPr>
      <t xml:space="preserve"> </t>
    </r>
    <r>
      <rPr>
        <sz val="10"/>
        <rFont val="돋움"/>
        <family val="3"/>
        <charset val="129"/>
      </rPr>
      <t>되었는가</t>
    </r>
    <r>
      <rPr>
        <sz val="10"/>
        <rFont val="Arial"/>
        <family val="2"/>
      </rPr>
      <t xml:space="preserve">?
- </t>
    </r>
    <r>
      <rPr>
        <sz val="10"/>
        <rFont val="돋움"/>
        <family val="3"/>
        <charset val="129"/>
      </rPr>
      <t>원인이</t>
    </r>
    <r>
      <rPr>
        <sz val="10"/>
        <rFont val="Arial"/>
        <family val="2"/>
      </rPr>
      <t xml:space="preserve"> </t>
    </r>
    <r>
      <rPr>
        <sz val="10"/>
        <rFont val="돋움"/>
        <family val="3"/>
        <charset val="129"/>
      </rPr>
      <t>인증</t>
    </r>
    <r>
      <rPr>
        <sz val="10"/>
        <rFont val="Arial"/>
        <family val="2"/>
      </rPr>
      <t xml:space="preserve"> </t>
    </r>
    <r>
      <rPr>
        <sz val="10"/>
        <rFont val="돋움"/>
        <family val="3"/>
        <charset val="129"/>
      </rPr>
      <t>되었다는</t>
    </r>
    <r>
      <rPr>
        <sz val="10"/>
        <rFont val="Arial"/>
        <family val="2"/>
      </rPr>
      <t xml:space="preserve"> </t>
    </r>
    <r>
      <rPr>
        <sz val="10"/>
        <rFont val="돋움"/>
        <family val="3"/>
        <charset val="129"/>
      </rPr>
      <t>증거는</t>
    </r>
    <r>
      <rPr>
        <sz val="10"/>
        <rFont val="Arial"/>
        <family val="2"/>
      </rPr>
      <t>?</t>
    </r>
    <r>
      <rPr>
        <sz val="10"/>
        <rFont val="Arial"/>
        <family val="2"/>
      </rPr>
      <t xml:space="preserve">
- </t>
    </r>
    <r>
      <rPr>
        <sz val="10"/>
        <rFont val="돋움"/>
        <family val="3"/>
        <charset val="129"/>
      </rPr>
      <t>방법</t>
    </r>
    <r>
      <rPr>
        <sz val="10"/>
        <rFont val="Arial"/>
        <family val="2"/>
      </rPr>
      <t>: 5Why; Gage R+R</t>
    </r>
  </si>
  <si>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points
</t>
    </r>
    <r>
      <rPr>
        <sz val="10"/>
        <rFont val="돋움"/>
        <family val="3"/>
        <charset val="129"/>
      </rPr>
      <t>기대</t>
    </r>
    <r>
      <rPr>
        <sz val="10"/>
        <rFont val="Arial"/>
        <family val="2"/>
      </rPr>
      <t xml:space="preserve"> </t>
    </r>
    <r>
      <rPr>
        <sz val="10"/>
        <rFont val="돋움"/>
        <family val="3"/>
        <charset val="129"/>
      </rPr>
      <t>수준</t>
    </r>
    <r>
      <rPr>
        <sz val="10"/>
        <rFont val="Arial"/>
        <family val="2"/>
      </rPr>
      <t xml:space="preserve">:    1 point
</t>
    </r>
    <r>
      <rPr>
        <sz val="10"/>
        <rFont val="돋움"/>
        <family val="3"/>
        <charset val="129"/>
      </rPr>
      <t>좋음</t>
    </r>
    <r>
      <rPr>
        <sz val="10"/>
        <rFont val="Arial"/>
        <family val="2"/>
      </rPr>
      <t xml:space="preserve">: </t>
    </r>
    <r>
      <rPr>
        <sz val="10"/>
        <rFont val="돋움"/>
        <family val="3"/>
        <charset val="129"/>
      </rPr>
      <t>기대</t>
    </r>
    <r>
      <rPr>
        <sz val="10"/>
        <rFont val="Arial"/>
        <family val="2"/>
      </rPr>
      <t xml:space="preserve"> </t>
    </r>
    <r>
      <rPr>
        <sz val="10"/>
        <rFont val="돋움"/>
        <family val="3"/>
        <charset val="129"/>
      </rPr>
      <t>이상</t>
    </r>
    <r>
      <rPr>
        <sz val="10"/>
        <rFont val="Arial"/>
        <family val="2"/>
      </rPr>
      <t xml:space="preserve">: 2 Punkte / points
</t>
    </r>
    <r>
      <rPr>
        <sz val="10"/>
        <rFont val="돋움"/>
        <family val="3"/>
        <charset val="129"/>
      </rPr>
      <t>불량</t>
    </r>
    <r>
      <rPr>
        <sz val="10"/>
        <rFont val="Arial"/>
        <family val="2"/>
      </rPr>
      <t xml:space="preserve"> </t>
    </r>
    <r>
      <rPr>
        <sz val="10"/>
        <rFont val="돋움"/>
        <family val="3"/>
        <charset val="129"/>
      </rPr>
      <t>생성</t>
    </r>
    <r>
      <rPr>
        <sz val="10"/>
        <rFont val="Arial"/>
        <family val="2"/>
      </rPr>
      <t xml:space="preserve"> </t>
    </r>
    <r>
      <rPr>
        <sz val="10"/>
        <rFont val="돋움"/>
        <family val="3"/>
        <charset val="129"/>
      </rPr>
      <t>원인</t>
    </r>
    <r>
      <rPr>
        <sz val="10"/>
        <rFont val="Arial"/>
        <family val="2"/>
      </rPr>
      <t xml:space="preserve">:
</t>
    </r>
    <r>
      <rPr>
        <sz val="10"/>
        <rFont val="돋움"/>
        <family val="3"/>
        <charset val="129"/>
      </rPr>
      <t>왜</t>
    </r>
    <r>
      <rPr>
        <sz val="10"/>
        <rFont val="Arial"/>
        <family val="2"/>
      </rPr>
      <t xml:space="preserve"> </t>
    </r>
    <r>
      <rPr>
        <sz val="10"/>
        <rFont val="돋움"/>
        <family val="3"/>
        <charset val="129"/>
      </rPr>
      <t>이번에만</t>
    </r>
    <r>
      <rPr>
        <sz val="10"/>
        <rFont val="Arial"/>
        <family val="2"/>
      </rPr>
      <t xml:space="preserve"> </t>
    </r>
    <r>
      <rPr>
        <sz val="10"/>
        <rFont val="돋움"/>
        <family val="3"/>
        <charset val="129"/>
      </rPr>
      <t>발견</t>
    </r>
    <r>
      <rPr>
        <sz val="10"/>
        <rFont val="Arial"/>
        <family val="2"/>
      </rPr>
      <t xml:space="preserve"> </t>
    </r>
    <r>
      <rPr>
        <sz val="10"/>
        <rFont val="돋움"/>
        <family val="3"/>
        <charset val="129"/>
      </rPr>
      <t>되었고</t>
    </r>
    <r>
      <rPr>
        <sz val="10"/>
        <rFont val="Arial"/>
        <family val="2"/>
      </rPr>
      <t xml:space="preserve"> </t>
    </r>
    <r>
      <rPr>
        <sz val="10"/>
        <rFont val="돋움"/>
        <family val="3"/>
        <charset val="129"/>
      </rPr>
      <t>다른</t>
    </r>
    <r>
      <rPr>
        <sz val="10"/>
        <rFont val="Arial"/>
        <family val="2"/>
      </rPr>
      <t xml:space="preserve"> </t>
    </r>
    <r>
      <rPr>
        <sz val="10"/>
        <rFont val="돋움"/>
        <family val="3"/>
        <charset val="129"/>
      </rPr>
      <t>때에는</t>
    </r>
    <r>
      <rPr>
        <sz val="10"/>
        <rFont val="Arial"/>
        <family val="2"/>
      </rPr>
      <t xml:space="preserve"> </t>
    </r>
    <r>
      <rPr>
        <sz val="10"/>
        <rFont val="돋움"/>
        <family val="3"/>
        <charset val="129"/>
      </rPr>
      <t>발견</t>
    </r>
    <r>
      <rPr>
        <sz val="10"/>
        <rFont val="Arial"/>
        <family val="2"/>
      </rPr>
      <t xml:space="preserve"> </t>
    </r>
    <r>
      <rPr>
        <sz val="10"/>
        <rFont val="돋움"/>
        <family val="3"/>
        <charset val="129"/>
      </rPr>
      <t>되지</t>
    </r>
    <r>
      <rPr>
        <sz val="10"/>
        <rFont val="Arial"/>
        <family val="2"/>
      </rPr>
      <t xml:space="preserve"> </t>
    </r>
    <r>
      <rPr>
        <sz val="10"/>
        <rFont val="돋움"/>
        <family val="3"/>
        <charset val="129"/>
      </rPr>
      <t>않았는가</t>
    </r>
    <r>
      <rPr>
        <sz val="10"/>
        <rFont val="Arial"/>
        <family val="2"/>
      </rPr>
      <t>?</t>
    </r>
    <r>
      <rPr>
        <sz val="10"/>
        <rFont val="Arial"/>
        <family val="2"/>
      </rPr>
      <t xml:space="preserve">
- </t>
    </r>
    <r>
      <rPr>
        <sz val="10"/>
        <rFont val="돋움"/>
        <family val="3"/>
        <charset val="129"/>
      </rPr>
      <t>원인이</t>
    </r>
    <r>
      <rPr>
        <sz val="10"/>
        <rFont val="Arial"/>
        <family val="2"/>
      </rPr>
      <t xml:space="preserve"> </t>
    </r>
    <r>
      <rPr>
        <sz val="10"/>
        <rFont val="돋움"/>
        <family val="3"/>
        <charset val="129"/>
      </rPr>
      <t>논리적으로</t>
    </r>
    <r>
      <rPr>
        <sz val="10"/>
        <rFont val="Arial"/>
        <family val="2"/>
      </rPr>
      <t xml:space="preserve"> </t>
    </r>
    <r>
      <rPr>
        <sz val="10"/>
        <rFont val="돋움"/>
        <family val="3"/>
        <charset val="129"/>
      </rPr>
      <t>인증되었는가</t>
    </r>
    <r>
      <rPr>
        <sz val="10"/>
        <rFont val="Arial"/>
        <family val="2"/>
      </rPr>
      <t>?</t>
    </r>
    <r>
      <rPr>
        <sz val="10"/>
        <rFont val="Arial"/>
        <family val="2"/>
      </rPr>
      <t xml:space="preserve">
- </t>
    </r>
    <r>
      <rPr>
        <sz val="10"/>
        <rFont val="돋움"/>
        <family val="3"/>
        <charset val="129"/>
      </rPr>
      <t>양품과</t>
    </r>
    <r>
      <rPr>
        <sz val="10"/>
        <rFont val="Arial"/>
        <family val="2"/>
      </rPr>
      <t xml:space="preserve"> </t>
    </r>
    <r>
      <rPr>
        <sz val="10"/>
        <rFont val="돋움"/>
        <family val="3"/>
        <charset val="129"/>
      </rPr>
      <t>불량품의</t>
    </r>
    <r>
      <rPr>
        <sz val="10"/>
        <rFont val="Arial"/>
        <family val="2"/>
      </rPr>
      <t xml:space="preserve"> </t>
    </r>
    <r>
      <rPr>
        <sz val="10"/>
        <rFont val="돋움"/>
        <family val="3"/>
        <charset val="129"/>
      </rPr>
      <t>차이점에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증거자료를</t>
    </r>
    <r>
      <rPr>
        <sz val="10"/>
        <rFont val="Arial"/>
        <family val="2"/>
      </rPr>
      <t xml:space="preserve"> </t>
    </r>
    <r>
      <rPr>
        <sz val="10"/>
        <rFont val="돋움"/>
        <family val="3"/>
        <charset val="129"/>
      </rPr>
      <t>찾는다</t>
    </r>
    <r>
      <rPr>
        <sz val="10"/>
        <rFont val="Arial"/>
        <family val="2"/>
      </rPr>
      <t xml:space="preserve">.
</t>
    </r>
    <r>
      <rPr>
        <sz val="10"/>
        <rFont val="돋움"/>
        <family val="3"/>
        <charset val="129"/>
      </rPr>
      <t>원인</t>
    </r>
    <r>
      <rPr>
        <sz val="10"/>
        <rFont val="Arial"/>
        <family val="2"/>
      </rPr>
      <t xml:space="preserve"> </t>
    </r>
    <r>
      <rPr>
        <sz val="10"/>
        <rFont val="돋움"/>
        <family val="3"/>
        <charset val="129"/>
      </rPr>
      <t>확인을</t>
    </r>
    <r>
      <rPr>
        <sz val="10"/>
        <rFont val="Arial"/>
        <family val="2"/>
      </rPr>
      <t xml:space="preserve"> </t>
    </r>
    <r>
      <rPr>
        <sz val="10"/>
        <rFont val="돋움"/>
        <family val="3"/>
        <charset val="129"/>
      </rPr>
      <t>위해</t>
    </r>
    <r>
      <rPr>
        <sz val="10"/>
        <rFont val="Arial"/>
        <family val="2"/>
      </rPr>
      <t xml:space="preserve"> "</t>
    </r>
    <r>
      <rPr>
        <sz val="10"/>
        <rFont val="돋움"/>
        <family val="3"/>
        <charset val="129"/>
      </rPr>
      <t>테스트</t>
    </r>
    <r>
      <rPr>
        <sz val="10"/>
        <rFont val="Arial"/>
        <family val="2"/>
      </rPr>
      <t xml:space="preserve">" </t>
    </r>
    <r>
      <rPr>
        <sz val="10"/>
        <rFont val="돋움"/>
        <family val="3"/>
        <charset val="129"/>
      </rPr>
      <t>되었다는</t>
    </r>
    <r>
      <rPr>
        <sz val="10"/>
        <rFont val="Arial"/>
        <family val="2"/>
      </rPr>
      <t xml:space="preserve"> </t>
    </r>
    <r>
      <rPr>
        <sz val="10"/>
        <rFont val="돋움"/>
        <family val="3"/>
        <charset val="129"/>
      </rPr>
      <t>증거가</t>
    </r>
    <r>
      <rPr>
        <sz val="10"/>
        <rFont val="Arial"/>
        <family val="2"/>
      </rPr>
      <t xml:space="preserve"> </t>
    </r>
    <r>
      <rPr>
        <sz val="10"/>
        <rFont val="돋움"/>
        <family val="3"/>
        <charset val="129"/>
      </rPr>
      <t>있는가</t>
    </r>
    <r>
      <rPr>
        <sz val="10"/>
        <rFont val="Arial"/>
        <family val="2"/>
      </rPr>
      <t>?</t>
    </r>
    <r>
      <rPr>
        <sz val="10"/>
        <rFont val="Arial"/>
        <family val="2"/>
      </rPr>
      <t xml:space="preserve">
-</t>
    </r>
    <r>
      <rPr>
        <sz val="10"/>
        <rFont val="Arial"/>
        <family val="2"/>
      </rPr>
      <t xml:space="preserve"> </t>
    </r>
    <r>
      <rPr>
        <sz val="10"/>
        <rFont val="돋움"/>
        <family val="3"/>
        <charset val="129"/>
      </rPr>
      <t>분석이</t>
    </r>
    <r>
      <rPr>
        <sz val="10"/>
        <rFont val="Arial"/>
        <family val="2"/>
      </rPr>
      <t xml:space="preserve"> </t>
    </r>
    <r>
      <rPr>
        <sz val="10"/>
        <rFont val="돋움"/>
        <family val="3"/>
        <charset val="129"/>
      </rPr>
      <t>불량품</t>
    </r>
    <r>
      <rPr>
        <sz val="10"/>
        <rFont val="Arial"/>
        <family val="2"/>
      </rPr>
      <t xml:space="preserve"> </t>
    </r>
    <r>
      <rPr>
        <sz val="10"/>
        <rFont val="돋움"/>
        <family val="3"/>
        <charset val="129"/>
      </rPr>
      <t>실수량과</t>
    </r>
    <r>
      <rPr>
        <sz val="10"/>
        <rFont val="Arial"/>
        <family val="2"/>
      </rPr>
      <t xml:space="preserve"> </t>
    </r>
    <r>
      <rPr>
        <sz val="10"/>
        <rFont val="돋움"/>
        <family val="3"/>
        <charset val="129"/>
      </rPr>
      <t>발견</t>
    </r>
    <r>
      <rPr>
        <sz val="10"/>
        <rFont val="Arial"/>
        <family val="2"/>
      </rPr>
      <t xml:space="preserve"> </t>
    </r>
    <r>
      <rPr>
        <sz val="10"/>
        <rFont val="돋움"/>
        <family val="3"/>
        <charset val="129"/>
      </rPr>
      <t>이유를</t>
    </r>
    <r>
      <rPr>
        <sz val="10"/>
        <rFont val="Arial"/>
        <family val="2"/>
      </rPr>
      <t xml:space="preserve"> </t>
    </r>
    <r>
      <rPr>
        <sz val="10"/>
        <rFont val="돋움"/>
        <family val="3"/>
        <charset val="129"/>
      </rPr>
      <t>증명하는가</t>
    </r>
    <r>
      <rPr>
        <sz val="10"/>
        <rFont val="Arial"/>
        <family val="2"/>
      </rPr>
      <t>?</t>
    </r>
  </si>
  <si>
    <r>
      <rPr>
        <sz val="10"/>
        <rFont val="돋움"/>
        <family val="3"/>
        <charset val="129"/>
      </rPr>
      <t>확인</t>
    </r>
    <r>
      <rPr>
        <sz val="10"/>
        <rFont val="Arial"/>
        <family val="2"/>
      </rPr>
      <t xml:space="preserve"> </t>
    </r>
    <r>
      <rPr>
        <sz val="10"/>
        <rFont val="돋움"/>
        <family val="3"/>
        <charset val="129"/>
      </rPr>
      <t>된</t>
    </r>
    <r>
      <rPr>
        <sz val="10"/>
        <rFont val="Arial"/>
        <family val="2"/>
      </rPr>
      <t xml:space="preserve"> </t>
    </r>
    <r>
      <rPr>
        <sz val="10"/>
        <rFont val="돋움"/>
        <family val="3"/>
        <charset val="129"/>
      </rPr>
      <t>근본원인을</t>
    </r>
    <r>
      <rPr>
        <sz val="10"/>
        <rFont val="Arial"/>
        <family val="2"/>
      </rPr>
      <t xml:space="preserve"> Occ1, Occ2 </t>
    </r>
    <r>
      <rPr>
        <sz val="10"/>
        <rFont val="돋움"/>
        <family val="3"/>
        <charset val="129"/>
      </rPr>
      <t>등</t>
    </r>
    <r>
      <rPr>
        <sz val="10"/>
        <rFont val="Arial"/>
        <family val="2"/>
      </rPr>
      <t xml:space="preserve"> </t>
    </r>
    <r>
      <rPr>
        <sz val="10"/>
        <rFont val="돋움"/>
        <family val="3"/>
        <charset val="129"/>
      </rPr>
      <t>나열한다</t>
    </r>
    <r>
      <rPr>
        <sz val="10"/>
        <rFont val="Arial"/>
        <family val="2"/>
      </rPr>
      <t xml:space="preserve">. </t>
    </r>
    <r>
      <rPr>
        <sz val="10"/>
        <rFont val="돋움"/>
        <family val="3"/>
        <charset val="129"/>
      </rPr>
      <t>확인</t>
    </r>
    <r>
      <rPr>
        <sz val="10"/>
        <rFont val="Arial"/>
        <family val="2"/>
      </rPr>
      <t xml:space="preserve"> </t>
    </r>
    <r>
      <rPr>
        <sz val="10"/>
        <rFont val="돋움"/>
        <family val="3"/>
        <charset val="129"/>
      </rPr>
      <t>된</t>
    </r>
    <r>
      <rPr>
        <sz val="10"/>
        <rFont val="Arial"/>
        <family val="2"/>
      </rPr>
      <t xml:space="preserve"> </t>
    </r>
    <r>
      <rPr>
        <sz val="10"/>
        <rFont val="돋움"/>
        <family val="3"/>
        <charset val="129"/>
      </rPr>
      <t>근본원인은</t>
    </r>
    <r>
      <rPr>
        <sz val="10"/>
        <rFont val="Arial"/>
        <family val="2"/>
      </rPr>
      <t xml:space="preserve"> factor investigation + 5 Why's</t>
    </r>
    <r>
      <rPr>
        <sz val="10"/>
        <rFont val="돋움"/>
        <family val="3"/>
        <charset val="129"/>
      </rPr>
      <t>를</t>
    </r>
    <r>
      <rPr>
        <sz val="10"/>
        <rFont val="Arial"/>
        <family val="2"/>
      </rPr>
      <t xml:space="preserve"> </t>
    </r>
    <r>
      <rPr>
        <sz val="10"/>
        <rFont val="돋움"/>
        <family val="3"/>
        <charset val="129"/>
      </rPr>
      <t>통해</t>
    </r>
    <r>
      <rPr>
        <sz val="10"/>
        <rFont val="Arial"/>
        <family val="2"/>
      </rPr>
      <t xml:space="preserve"> </t>
    </r>
    <r>
      <rPr>
        <sz val="10"/>
        <rFont val="돋움"/>
        <family val="3"/>
        <charset val="129"/>
      </rPr>
      <t>확인</t>
    </r>
    <r>
      <rPr>
        <sz val="10"/>
        <rFont val="Arial"/>
        <family val="2"/>
      </rPr>
      <t xml:space="preserve"> </t>
    </r>
    <r>
      <rPr>
        <sz val="10"/>
        <rFont val="돋움"/>
        <family val="3"/>
        <charset val="129"/>
      </rPr>
      <t>되어야</t>
    </r>
    <r>
      <rPr>
        <sz val="10"/>
        <rFont val="Arial"/>
        <family val="2"/>
      </rPr>
      <t xml:space="preserve"> </t>
    </r>
    <r>
      <rPr>
        <sz val="10"/>
        <rFont val="돋움"/>
        <family val="3"/>
        <charset val="129"/>
      </rPr>
      <t>한다</t>
    </r>
    <r>
      <rPr>
        <sz val="10"/>
        <rFont val="Arial"/>
        <family val="2"/>
      </rPr>
      <t>.</t>
    </r>
  </si>
  <si>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points
</t>
    </r>
    <r>
      <rPr>
        <sz val="10"/>
        <rFont val="돋움"/>
        <family val="3"/>
        <charset val="129"/>
      </rPr>
      <t>기대수준</t>
    </r>
    <r>
      <rPr>
        <sz val="10"/>
        <rFont val="Arial"/>
        <family val="2"/>
      </rPr>
      <t>:</t>
    </r>
    <r>
      <rPr>
        <sz val="10"/>
        <rFont val="Arial"/>
        <family val="2"/>
      </rPr>
      <t xml:space="preserve"> </t>
    </r>
    <r>
      <rPr>
        <sz val="10"/>
        <rFont val="Arial"/>
        <family val="2"/>
      </rPr>
      <t xml:space="preserve">1 point
</t>
    </r>
    <r>
      <rPr>
        <sz val="10"/>
        <rFont val="돋움"/>
        <family val="3"/>
        <charset val="129"/>
      </rPr>
      <t>좋음</t>
    </r>
    <r>
      <rPr>
        <sz val="10"/>
        <rFont val="Arial"/>
        <family val="2"/>
      </rPr>
      <t>:</t>
    </r>
    <r>
      <rPr>
        <sz val="10"/>
        <rFont val="Arial"/>
        <family val="2"/>
      </rPr>
      <t xml:space="preserve"> </t>
    </r>
    <r>
      <rPr>
        <sz val="10"/>
        <rFont val="돋움"/>
        <family val="3"/>
        <charset val="129"/>
      </rPr>
      <t>기대</t>
    </r>
    <r>
      <rPr>
        <sz val="10"/>
        <rFont val="Arial"/>
        <family val="2"/>
      </rPr>
      <t xml:space="preserve"> </t>
    </r>
    <r>
      <rPr>
        <sz val="10"/>
        <rFont val="돋움"/>
        <family val="3"/>
        <charset val="129"/>
      </rPr>
      <t>이상</t>
    </r>
    <r>
      <rPr>
        <sz val="10"/>
        <rFont val="Arial"/>
        <family val="2"/>
      </rPr>
      <t xml:space="preserve">: 2 points
</t>
    </r>
    <r>
      <rPr>
        <sz val="10"/>
        <rFont val="돋움"/>
        <family val="3"/>
        <charset val="129"/>
      </rPr>
      <t>명확한</t>
    </r>
    <r>
      <rPr>
        <sz val="10"/>
        <rFont val="Arial"/>
        <family val="2"/>
      </rPr>
      <t xml:space="preserve"> </t>
    </r>
    <r>
      <rPr>
        <sz val="10"/>
        <rFont val="돋움"/>
        <family val="3"/>
        <charset val="129"/>
      </rPr>
      <t>대책</t>
    </r>
    <r>
      <rPr>
        <sz val="10"/>
        <rFont val="Arial"/>
        <family val="2"/>
      </rPr>
      <t xml:space="preserve"> </t>
    </r>
    <r>
      <rPr>
        <sz val="10"/>
        <rFont val="돋움"/>
        <family val="3"/>
        <charset val="129"/>
      </rPr>
      <t>현황</t>
    </r>
    <r>
      <rPr>
        <sz val="10"/>
        <rFont val="Arial"/>
        <family val="2"/>
      </rPr>
      <t>:
                 -25% / 50% / 75% / 100%
                 -</t>
    </r>
    <r>
      <rPr>
        <sz val="10"/>
        <rFont val="Arial"/>
        <family val="2"/>
      </rPr>
      <t xml:space="preserve"> </t>
    </r>
    <r>
      <rPr>
        <sz val="10"/>
        <rFont val="돋움"/>
        <family val="3"/>
        <charset val="129"/>
      </rPr>
      <t>시행완료</t>
    </r>
    <r>
      <rPr>
        <sz val="10"/>
        <rFont val="Arial"/>
        <family val="2"/>
      </rPr>
      <t xml:space="preserve"> </t>
    </r>
    <r>
      <rPr>
        <sz val="10"/>
        <rFont val="돋움"/>
        <family val="3"/>
        <charset val="129"/>
      </rPr>
      <t>및</t>
    </r>
    <r>
      <rPr>
        <sz val="10"/>
        <rFont val="Arial"/>
        <family val="2"/>
      </rPr>
      <t xml:space="preserve"> </t>
    </r>
    <r>
      <rPr>
        <sz val="10"/>
        <rFont val="돋움"/>
        <family val="3"/>
        <charset val="129"/>
      </rPr>
      <t>확인완료</t>
    </r>
    <r>
      <rPr>
        <sz val="10"/>
        <rFont val="Arial"/>
        <family val="2"/>
      </rPr>
      <t xml:space="preserve">
- </t>
    </r>
    <r>
      <rPr>
        <sz val="10"/>
        <rFont val="돋움"/>
        <family val="3"/>
        <charset val="129"/>
      </rPr>
      <t>공정</t>
    </r>
    <r>
      <rPr>
        <sz val="10"/>
        <rFont val="Arial"/>
        <family val="2"/>
      </rPr>
      <t xml:space="preserve"> </t>
    </r>
    <r>
      <rPr>
        <sz val="10"/>
        <rFont val="돋움"/>
        <family val="3"/>
        <charset val="129"/>
      </rPr>
      <t>파라미터</t>
    </r>
    <r>
      <rPr>
        <sz val="10"/>
        <rFont val="Arial"/>
        <family val="2"/>
      </rPr>
      <t xml:space="preserve"> </t>
    </r>
    <r>
      <rPr>
        <sz val="10"/>
        <rFont val="돋움"/>
        <family val="3"/>
        <charset val="129"/>
      </rPr>
      <t>조정시</t>
    </r>
    <r>
      <rPr>
        <sz val="10"/>
        <rFont val="Arial"/>
        <family val="2"/>
      </rPr>
      <t xml:space="preserve"> </t>
    </r>
    <r>
      <rPr>
        <sz val="10"/>
        <rFont val="돋움"/>
        <family val="3"/>
        <charset val="129"/>
      </rPr>
      <t>문제</t>
    </r>
    <r>
      <rPr>
        <sz val="10"/>
        <rFont val="Arial"/>
        <family val="2"/>
      </rPr>
      <t xml:space="preserve"> </t>
    </r>
    <r>
      <rPr>
        <sz val="10"/>
        <rFont val="돋움"/>
        <family val="3"/>
        <charset val="129"/>
      </rPr>
      <t>재발생</t>
    </r>
    <r>
      <rPr>
        <sz val="10"/>
        <rFont val="Arial"/>
        <family val="2"/>
      </rPr>
      <t xml:space="preserve"> </t>
    </r>
    <r>
      <rPr>
        <sz val="10"/>
        <rFont val="돋움"/>
        <family val="3"/>
        <charset val="129"/>
      </rPr>
      <t>가능</t>
    </r>
    <r>
      <rPr>
        <sz val="10"/>
        <rFont val="Arial"/>
        <family val="2"/>
      </rPr>
      <t xml:space="preserve">
- </t>
    </r>
    <r>
      <rPr>
        <sz val="10"/>
        <rFont val="돋움"/>
        <family val="3"/>
        <charset val="129"/>
      </rPr>
      <t>대책은</t>
    </r>
    <r>
      <rPr>
        <sz val="10"/>
        <rFont val="Arial"/>
        <family val="2"/>
      </rPr>
      <t xml:space="preserve"> </t>
    </r>
    <r>
      <rPr>
        <sz val="10"/>
        <rFont val="돋움"/>
        <family val="3"/>
        <charset val="129"/>
      </rPr>
      <t>제품</t>
    </r>
    <r>
      <rPr>
        <sz val="10"/>
        <rFont val="Arial"/>
        <family val="2"/>
      </rPr>
      <t xml:space="preserve"> </t>
    </r>
    <r>
      <rPr>
        <sz val="10"/>
        <rFont val="돋움"/>
        <family val="3"/>
        <charset val="129"/>
      </rPr>
      <t>혹은</t>
    </r>
    <r>
      <rPr>
        <sz val="10"/>
        <rFont val="Arial"/>
        <family val="2"/>
      </rPr>
      <t xml:space="preserve"> </t>
    </r>
    <r>
      <rPr>
        <sz val="10"/>
        <rFont val="돋움"/>
        <family val="3"/>
        <charset val="129"/>
      </rPr>
      <t>공정에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변경을</t>
    </r>
    <r>
      <rPr>
        <sz val="10"/>
        <rFont val="Arial"/>
        <family val="2"/>
      </rPr>
      <t xml:space="preserve"> </t>
    </r>
    <r>
      <rPr>
        <sz val="10"/>
        <rFont val="돋움"/>
        <family val="3"/>
        <charset val="129"/>
      </rPr>
      <t>포함하고</t>
    </r>
    <r>
      <rPr>
        <sz val="10"/>
        <rFont val="Arial"/>
        <family val="2"/>
      </rPr>
      <t xml:space="preserve"> </t>
    </r>
    <r>
      <rPr>
        <sz val="10"/>
        <rFont val="돋움"/>
        <family val="3"/>
        <charset val="129"/>
      </rPr>
      <t>있어야</t>
    </r>
    <r>
      <rPr>
        <sz val="10"/>
        <rFont val="Arial"/>
        <family val="2"/>
      </rPr>
      <t xml:space="preserve"> </t>
    </r>
    <r>
      <rPr>
        <sz val="10"/>
        <rFont val="돋움"/>
        <family val="3"/>
        <charset val="129"/>
      </rPr>
      <t>한다</t>
    </r>
    <r>
      <rPr>
        <sz val="10"/>
        <rFont val="Arial"/>
        <family val="2"/>
      </rPr>
      <t>.</t>
    </r>
    <r>
      <rPr>
        <sz val="10"/>
        <rFont val="Arial"/>
        <family val="2"/>
      </rPr>
      <t xml:space="preserve">
</t>
    </r>
    <r>
      <rPr>
        <sz val="10"/>
        <rFont val="돋움"/>
        <family val="3"/>
        <charset val="129"/>
      </rPr>
      <t>작업자</t>
    </r>
    <r>
      <rPr>
        <sz val="10"/>
        <rFont val="Arial"/>
        <family val="2"/>
      </rPr>
      <t xml:space="preserve"> </t>
    </r>
    <r>
      <rPr>
        <sz val="10"/>
        <rFont val="돋움"/>
        <family val="3"/>
        <charset val="129"/>
      </rPr>
      <t>재교육으로는</t>
    </r>
    <r>
      <rPr>
        <sz val="10"/>
        <rFont val="Arial"/>
        <family val="2"/>
      </rPr>
      <t xml:space="preserve"> </t>
    </r>
    <r>
      <rPr>
        <sz val="10"/>
        <rFont val="돋움"/>
        <family val="3"/>
        <charset val="129"/>
      </rPr>
      <t>부족함</t>
    </r>
    <r>
      <rPr>
        <sz val="10"/>
        <rFont val="Arial"/>
        <family val="2"/>
      </rPr>
      <t>!</t>
    </r>
  </si>
  <si>
    <r>
      <t>D</t>
    </r>
    <r>
      <rPr>
        <sz val="10"/>
        <rFont val="Arial"/>
        <family val="2"/>
      </rPr>
      <t xml:space="preserve">4 </t>
    </r>
    <r>
      <rPr>
        <sz val="10"/>
        <rFont val="돋움"/>
        <family val="3"/>
        <charset val="129"/>
      </rPr>
      <t>및</t>
    </r>
    <r>
      <rPr>
        <sz val="10"/>
        <rFont val="Arial"/>
        <family val="2"/>
      </rPr>
      <t xml:space="preserve"> D5</t>
    </r>
    <r>
      <rPr>
        <sz val="10"/>
        <rFont val="돋움"/>
        <family val="3"/>
        <charset val="129"/>
      </rPr>
      <t>에서</t>
    </r>
    <r>
      <rPr>
        <sz val="10"/>
        <rFont val="Arial"/>
        <family val="2"/>
      </rPr>
      <t xml:space="preserve"> </t>
    </r>
    <r>
      <rPr>
        <sz val="10"/>
        <rFont val="돋움"/>
        <family val="3"/>
        <charset val="129"/>
      </rPr>
      <t>확인된</t>
    </r>
    <r>
      <rPr>
        <sz val="10"/>
        <rFont val="Arial"/>
        <family val="2"/>
      </rPr>
      <t xml:space="preserve"> </t>
    </r>
    <r>
      <rPr>
        <sz val="10"/>
        <rFont val="돋움"/>
        <family val="3"/>
        <charset val="129"/>
      </rPr>
      <t>근본원인에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연관성</t>
    </r>
    <r>
      <rPr>
        <sz val="10"/>
        <rFont val="Arial"/>
        <family val="2"/>
      </rPr>
      <t/>
    </r>
  </si>
  <si>
    <r>
      <rPr>
        <sz val="10"/>
        <rFont val="돋움"/>
        <family val="3"/>
        <charset val="129"/>
      </rPr>
      <t>평가</t>
    </r>
    <r>
      <rPr>
        <sz val="10"/>
        <rFont val="Arial"/>
        <family val="2"/>
      </rPr>
      <t xml:space="preserve">:
</t>
    </r>
    <r>
      <rPr>
        <sz val="10"/>
        <rFont val="돋움"/>
        <family val="3"/>
        <charset val="129"/>
      </rPr>
      <t>나쁨</t>
    </r>
    <r>
      <rPr>
        <sz val="10"/>
        <rFont val="Arial"/>
        <family val="2"/>
      </rPr>
      <t>:  0 points ("Statistik (D3-D7)"</t>
    </r>
    <r>
      <rPr>
        <sz val="10"/>
        <rFont val="Arial"/>
        <family val="2"/>
      </rPr>
      <t xml:space="preserve"> worksheet </t>
    </r>
    <r>
      <rPr>
        <sz val="10"/>
        <rFont val="돋움"/>
        <family val="3"/>
        <charset val="129"/>
      </rPr>
      <t>내</t>
    </r>
    <r>
      <rPr>
        <sz val="10"/>
        <rFont val="Arial"/>
        <family val="2"/>
      </rPr>
      <t xml:space="preserve"> </t>
    </r>
    <r>
      <rPr>
        <sz val="10"/>
        <rFont val="돋움"/>
        <family val="3"/>
        <charset val="129"/>
      </rPr>
      <t>데이터</t>
    </r>
    <r>
      <rPr>
        <sz val="10"/>
        <rFont val="Arial"/>
        <family val="2"/>
      </rPr>
      <t xml:space="preserve"> </t>
    </r>
    <r>
      <rPr>
        <sz val="10"/>
        <rFont val="돋움"/>
        <family val="3"/>
        <charset val="129"/>
      </rPr>
      <t>미</t>
    </r>
    <r>
      <rPr>
        <sz val="10"/>
        <rFont val="Arial"/>
        <family val="2"/>
      </rPr>
      <t xml:space="preserve"> </t>
    </r>
    <r>
      <rPr>
        <sz val="10"/>
        <rFont val="돋움"/>
        <family val="3"/>
        <charset val="129"/>
      </rPr>
      <t>기입</t>
    </r>
    <r>
      <rPr>
        <sz val="10"/>
        <rFont val="Arial"/>
        <family val="2"/>
      </rPr>
      <t xml:space="preserve">)
</t>
    </r>
    <r>
      <rPr>
        <sz val="10"/>
        <rFont val="돋움"/>
        <family val="3"/>
        <charset val="129"/>
      </rPr>
      <t>기대수준</t>
    </r>
    <r>
      <rPr>
        <sz val="10"/>
        <rFont val="Arial"/>
        <family val="2"/>
      </rPr>
      <t xml:space="preserve">:    1 point
</t>
    </r>
    <r>
      <rPr>
        <sz val="10"/>
        <rFont val="돋움"/>
        <family val="3"/>
        <charset val="129"/>
      </rPr>
      <t>기대이상</t>
    </r>
    <r>
      <rPr>
        <sz val="10"/>
        <rFont val="Arial"/>
        <family val="2"/>
      </rPr>
      <t>: 2 points (8D-file</t>
    </r>
    <r>
      <rPr>
        <sz val="10"/>
        <rFont val="돋움"/>
        <family val="3"/>
        <charset val="129"/>
      </rPr>
      <t>가</t>
    </r>
    <r>
      <rPr>
        <sz val="10"/>
        <rFont val="Arial"/>
        <family val="2"/>
      </rPr>
      <t xml:space="preserve"> </t>
    </r>
    <r>
      <rPr>
        <sz val="10"/>
        <rFont val="돋움"/>
        <family val="3"/>
        <charset val="129"/>
      </rPr>
      <t>종료</t>
    </r>
    <r>
      <rPr>
        <sz val="10"/>
        <rFont val="Arial"/>
        <family val="2"/>
      </rPr>
      <t xml:space="preserve"> </t>
    </r>
    <r>
      <rPr>
        <sz val="10"/>
        <rFont val="돋움"/>
        <family val="3"/>
        <charset val="129"/>
      </rPr>
      <t>될</t>
    </r>
    <r>
      <rPr>
        <sz val="10"/>
        <rFont val="Arial"/>
        <family val="2"/>
      </rPr>
      <t xml:space="preserve"> </t>
    </r>
    <r>
      <rPr>
        <sz val="10"/>
        <rFont val="돋움"/>
        <family val="3"/>
        <charset val="129"/>
      </rPr>
      <t>때까지</t>
    </r>
    <r>
      <rPr>
        <sz val="10"/>
        <rFont val="Arial"/>
        <family val="2"/>
      </rPr>
      <t xml:space="preserve"> </t>
    </r>
    <r>
      <rPr>
        <sz val="10"/>
        <rFont val="돋움"/>
        <family val="3"/>
        <charset val="129"/>
      </rPr>
      <t>랙킹</t>
    </r>
    <r>
      <rPr>
        <sz val="10"/>
        <rFont val="Arial"/>
        <family val="2"/>
      </rPr>
      <t xml:space="preserve"> </t>
    </r>
    <r>
      <rPr>
        <sz val="10"/>
        <rFont val="돋움"/>
        <family val="3"/>
        <charset val="129"/>
      </rPr>
      <t>차트</t>
    </r>
    <r>
      <rPr>
        <sz val="10"/>
        <rFont val="Arial"/>
        <family val="2"/>
      </rPr>
      <t xml:space="preserve"> </t>
    </r>
    <r>
      <rPr>
        <sz val="10"/>
        <rFont val="돋움"/>
        <family val="3"/>
        <charset val="129"/>
      </rPr>
      <t>지속적으로</t>
    </r>
    <r>
      <rPr>
        <sz val="10"/>
        <rFont val="Arial"/>
        <family val="2"/>
      </rPr>
      <t xml:space="preserve"> </t>
    </r>
    <r>
      <rPr>
        <sz val="10"/>
        <rFont val="돋움"/>
        <family val="3"/>
        <charset val="129"/>
      </rPr>
      <t>업데이트</t>
    </r>
    <r>
      <rPr>
        <sz val="10"/>
        <rFont val="Arial"/>
        <family val="2"/>
      </rPr>
      <t xml:space="preserve">; </t>
    </r>
    <r>
      <rPr>
        <sz val="10"/>
        <rFont val="돋움"/>
        <family val="3"/>
        <charset val="129"/>
      </rPr>
      <t>대책</t>
    </r>
    <r>
      <rPr>
        <sz val="10"/>
        <rFont val="Arial"/>
        <family val="2"/>
      </rPr>
      <t xml:space="preserve"> </t>
    </r>
    <r>
      <rPr>
        <sz val="10"/>
        <rFont val="돋움"/>
        <family val="3"/>
        <charset val="129"/>
      </rPr>
      <t>효율성</t>
    </r>
    <r>
      <rPr>
        <sz val="10"/>
        <rFont val="Arial"/>
        <family val="2"/>
      </rPr>
      <t xml:space="preserve"> </t>
    </r>
    <r>
      <rPr>
        <sz val="10"/>
        <rFont val="돋움"/>
        <family val="3"/>
        <charset val="129"/>
      </rPr>
      <t>확인</t>
    </r>
    <r>
      <rPr>
        <sz val="10"/>
        <rFont val="Arial"/>
        <family val="2"/>
      </rPr>
      <t xml:space="preserve">)
- Tracking chart </t>
    </r>
    <r>
      <rPr>
        <sz val="10"/>
        <rFont val="돋움"/>
        <family val="3"/>
        <charset val="129"/>
      </rPr>
      <t>증빙</t>
    </r>
    <r>
      <rPr>
        <sz val="10"/>
        <rFont val="Arial"/>
        <family val="2"/>
      </rPr>
      <t xml:space="preserve"> </t>
    </r>
    <r>
      <rPr>
        <sz val="10"/>
        <rFont val="돋움"/>
        <family val="3"/>
        <charset val="129"/>
      </rPr>
      <t>자료</t>
    </r>
    <r>
      <rPr>
        <sz val="10"/>
        <rFont val="Arial"/>
        <family val="2"/>
      </rPr>
      <t xml:space="preserve"> </t>
    </r>
    <r>
      <rPr>
        <sz val="10"/>
        <rFont val="돋움"/>
        <family val="3"/>
        <charset val="129"/>
      </rPr>
      <t>대책</t>
    </r>
    <r>
      <rPr>
        <sz val="10"/>
        <rFont val="Arial"/>
        <family val="2"/>
      </rPr>
      <t xml:space="preserve"> </t>
    </r>
    <r>
      <rPr>
        <sz val="10"/>
        <rFont val="돋움"/>
        <family val="3"/>
        <charset val="129"/>
      </rPr>
      <t>효율성</t>
    </r>
    <r>
      <rPr>
        <sz val="10"/>
        <rFont val="Arial"/>
        <family val="2"/>
      </rPr>
      <t xml:space="preserve"> </t>
    </r>
    <r>
      <rPr>
        <sz val="10"/>
        <rFont val="돋움"/>
        <family val="3"/>
        <charset val="129"/>
      </rPr>
      <t>확인</t>
    </r>
    <r>
      <rPr>
        <sz val="10"/>
        <rFont val="Arial"/>
        <family val="2"/>
      </rPr>
      <t xml:space="preserve">
- </t>
    </r>
    <r>
      <rPr>
        <sz val="10"/>
        <rFont val="돋움"/>
        <family val="3"/>
        <charset val="129"/>
      </rPr>
      <t>고객사에서</t>
    </r>
    <r>
      <rPr>
        <sz val="10"/>
        <rFont val="Arial"/>
        <family val="2"/>
      </rPr>
      <t xml:space="preserve"> </t>
    </r>
    <r>
      <rPr>
        <sz val="10"/>
        <rFont val="돋움"/>
        <family val="3"/>
        <charset val="129"/>
      </rPr>
      <t>재발견</t>
    </r>
    <r>
      <rPr>
        <sz val="10"/>
        <rFont val="Arial"/>
        <family val="2"/>
      </rPr>
      <t xml:space="preserve"> </t>
    </r>
    <r>
      <rPr>
        <sz val="10"/>
        <rFont val="돋움"/>
        <family val="3"/>
        <charset val="129"/>
      </rPr>
      <t>없어야함</t>
    </r>
    <r>
      <rPr>
        <sz val="10"/>
        <rFont val="Arial"/>
        <family val="2"/>
      </rPr>
      <t xml:space="preserve">. </t>
    </r>
    <r>
      <rPr>
        <sz val="10"/>
        <rFont val="돋움"/>
        <family val="3"/>
        <charset val="129"/>
      </rPr>
      <t>내부</t>
    </r>
    <r>
      <rPr>
        <sz val="10"/>
        <rFont val="Arial"/>
        <family val="2"/>
      </rPr>
      <t xml:space="preserve"> Q-Wall</t>
    </r>
    <r>
      <rPr>
        <sz val="10"/>
        <rFont val="돋움"/>
        <family val="3"/>
        <charset val="129"/>
      </rPr>
      <t>로</t>
    </r>
    <r>
      <rPr>
        <sz val="10"/>
        <rFont val="Arial"/>
        <family val="2"/>
      </rPr>
      <t xml:space="preserve"> </t>
    </r>
    <r>
      <rPr>
        <sz val="10"/>
        <rFont val="돋움"/>
        <family val="3"/>
        <charset val="129"/>
      </rPr>
      <t>완제품</t>
    </r>
    <r>
      <rPr>
        <sz val="10"/>
        <rFont val="Arial"/>
        <family val="2"/>
      </rPr>
      <t xml:space="preserve"> </t>
    </r>
    <r>
      <rPr>
        <sz val="10"/>
        <rFont val="돋움"/>
        <family val="3"/>
        <charset val="129"/>
      </rPr>
      <t>검사에</t>
    </r>
    <r>
      <rPr>
        <sz val="10"/>
        <rFont val="Arial"/>
        <family val="2"/>
      </rPr>
      <t xml:space="preserve"> </t>
    </r>
    <r>
      <rPr>
        <sz val="10"/>
        <rFont val="돋움"/>
        <family val="3"/>
        <charset val="129"/>
      </rPr>
      <t>대한</t>
    </r>
    <r>
      <rPr>
        <sz val="10"/>
        <rFont val="Arial"/>
        <family val="2"/>
      </rPr>
      <t xml:space="preserve"> </t>
    </r>
    <r>
      <rPr>
        <sz val="10"/>
        <rFont val="돋움"/>
        <family val="3"/>
        <charset val="129"/>
      </rPr>
      <t>검증</t>
    </r>
    <r>
      <rPr>
        <sz val="10"/>
        <rFont val="Arial"/>
        <family val="2"/>
      </rPr>
      <t>.</t>
    </r>
  </si>
  <si>
    <r>
      <rPr>
        <sz val="10"/>
        <rFont val="돋움"/>
        <family val="3"/>
        <charset val="129"/>
      </rPr>
      <t>평가</t>
    </r>
    <r>
      <rPr>
        <sz val="10"/>
        <rFont val="Arial"/>
        <family val="2"/>
      </rPr>
      <t xml:space="preserve">:
</t>
    </r>
    <r>
      <rPr>
        <sz val="10"/>
        <rFont val="돋움"/>
        <family val="3"/>
        <charset val="129"/>
      </rPr>
      <t>나쁨</t>
    </r>
    <r>
      <rPr>
        <sz val="10"/>
        <rFont val="Arial"/>
        <family val="2"/>
      </rPr>
      <t xml:space="preserve">:  0 points 
</t>
    </r>
    <r>
      <rPr>
        <sz val="10"/>
        <rFont val="돋움"/>
        <family val="3"/>
        <charset val="129"/>
      </rPr>
      <t>기대수준</t>
    </r>
    <r>
      <rPr>
        <sz val="10"/>
        <rFont val="Arial"/>
        <family val="2"/>
      </rPr>
      <t xml:space="preserve">:    1 point
</t>
    </r>
    <r>
      <rPr>
        <sz val="10"/>
        <rFont val="돋움"/>
        <family val="3"/>
        <charset val="129"/>
      </rPr>
      <t>기대이상</t>
    </r>
    <r>
      <rPr>
        <sz val="10"/>
        <rFont val="Arial"/>
        <family val="2"/>
      </rPr>
      <t xml:space="preserve">: 2 points
FMEA </t>
    </r>
    <r>
      <rPr>
        <sz val="10"/>
        <rFont val="돋움"/>
        <family val="3"/>
        <charset val="129"/>
      </rPr>
      <t>업데이트</t>
    </r>
    <r>
      <rPr>
        <sz val="10"/>
        <rFont val="Arial"/>
        <family val="2"/>
      </rPr>
      <t xml:space="preserve"> </t>
    </r>
    <r>
      <rPr>
        <sz val="10"/>
        <rFont val="돋움"/>
        <family val="3"/>
        <charset val="129"/>
      </rPr>
      <t>미실행</t>
    </r>
    <r>
      <rPr>
        <sz val="10"/>
        <rFont val="Arial"/>
        <family val="2"/>
      </rPr>
      <t xml:space="preserve">: -2 points
- </t>
    </r>
    <r>
      <rPr>
        <sz val="10"/>
        <rFont val="돋움"/>
        <family val="3"/>
        <charset val="129"/>
      </rPr>
      <t>명확한</t>
    </r>
    <r>
      <rPr>
        <sz val="10"/>
        <rFont val="Arial"/>
        <family val="2"/>
      </rPr>
      <t xml:space="preserve"> learning point</t>
    </r>
    <r>
      <rPr>
        <sz val="10"/>
        <rFont val="돋움"/>
        <family val="3"/>
        <charset val="129"/>
      </rPr>
      <t>가</t>
    </r>
    <r>
      <rPr>
        <sz val="10"/>
        <rFont val="Arial"/>
        <family val="2"/>
      </rPr>
      <t xml:space="preserve"> </t>
    </r>
    <r>
      <rPr>
        <sz val="10"/>
        <rFont val="돋움"/>
        <family val="3"/>
        <charset val="129"/>
      </rPr>
      <t>확인</t>
    </r>
    <r>
      <rPr>
        <sz val="10"/>
        <rFont val="Arial"/>
        <family val="2"/>
      </rPr>
      <t xml:space="preserve"> </t>
    </r>
    <r>
      <rPr>
        <sz val="10"/>
        <rFont val="돋움"/>
        <family val="3"/>
        <charset val="129"/>
      </rPr>
      <t>되었는가</t>
    </r>
    <r>
      <rPr>
        <sz val="10"/>
        <rFont val="Arial"/>
        <family val="2"/>
      </rPr>
      <t xml:space="preserve">?
- </t>
    </r>
    <r>
      <rPr>
        <sz val="10"/>
        <rFont val="돋움"/>
        <family val="3"/>
        <charset val="129"/>
      </rPr>
      <t>신제품</t>
    </r>
    <r>
      <rPr>
        <sz val="10"/>
        <rFont val="Arial"/>
        <family val="2"/>
      </rPr>
      <t xml:space="preserve"> </t>
    </r>
    <r>
      <rPr>
        <sz val="10"/>
        <rFont val="돋움"/>
        <family val="3"/>
        <charset val="129"/>
      </rPr>
      <t>개선에</t>
    </r>
    <r>
      <rPr>
        <sz val="10"/>
        <rFont val="Arial"/>
        <family val="2"/>
      </rPr>
      <t xml:space="preserve"> </t>
    </r>
    <r>
      <rPr>
        <sz val="10"/>
        <rFont val="돋움"/>
        <family val="3"/>
        <charset val="129"/>
      </rPr>
      <t>사용</t>
    </r>
    <r>
      <rPr>
        <sz val="10"/>
        <rFont val="Arial"/>
        <family val="2"/>
      </rPr>
      <t xml:space="preserve"> </t>
    </r>
    <r>
      <rPr>
        <sz val="10"/>
        <rFont val="돋움"/>
        <family val="3"/>
        <charset val="129"/>
      </rPr>
      <t>되었는가</t>
    </r>
    <r>
      <rPr>
        <sz val="10"/>
        <rFont val="Arial"/>
        <family val="2"/>
      </rPr>
      <t>?</t>
    </r>
    <r>
      <rPr>
        <sz val="10"/>
        <rFont val="Arial"/>
        <family val="2"/>
      </rPr>
      <t xml:space="preserve">
- </t>
    </r>
    <r>
      <rPr>
        <sz val="10"/>
        <rFont val="돋움"/>
        <family val="3"/>
        <charset val="129"/>
      </rPr>
      <t>표준</t>
    </r>
    <r>
      <rPr>
        <sz val="10"/>
        <rFont val="Arial"/>
        <family val="2"/>
      </rPr>
      <t xml:space="preserve"> </t>
    </r>
    <r>
      <rPr>
        <sz val="10"/>
        <rFont val="돋움"/>
        <family val="3"/>
        <charset val="129"/>
      </rPr>
      <t>혹은</t>
    </r>
    <r>
      <rPr>
        <sz val="10"/>
        <rFont val="Arial"/>
        <family val="2"/>
      </rPr>
      <t xml:space="preserve"> </t>
    </r>
    <r>
      <rPr>
        <sz val="10"/>
        <rFont val="돋움"/>
        <family val="3"/>
        <charset val="129"/>
      </rPr>
      <t>기준이</t>
    </r>
    <r>
      <rPr>
        <sz val="10"/>
        <rFont val="Arial"/>
        <family val="2"/>
      </rPr>
      <t xml:space="preserve"> </t>
    </r>
    <r>
      <rPr>
        <sz val="10"/>
        <rFont val="돋움"/>
        <family val="3"/>
        <charset val="129"/>
      </rPr>
      <t>생성</t>
    </r>
    <r>
      <rPr>
        <sz val="10"/>
        <rFont val="Arial"/>
        <family val="2"/>
      </rPr>
      <t xml:space="preserve"> </t>
    </r>
    <r>
      <rPr>
        <sz val="10"/>
        <rFont val="돋움"/>
        <family val="3"/>
        <charset val="129"/>
      </rPr>
      <t>되었는가</t>
    </r>
    <r>
      <rPr>
        <sz val="10"/>
        <rFont val="Arial"/>
        <family val="2"/>
      </rPr>
      <t>?</t>
    </r>
    <r>
      <rPr>
        <sz val="10"/>
        <rFont val="Arial"/>
        <family val="2"/>
      </rPr>
      <t xml:space="preserve">
- FMEA</t>
    </r>
    <r>
      <rPr>
        <sz val="10"/>
        <rFont val="Arial"/>
        <family val="2"/>
      </rPr>
      <t xml:space="preserve"> </t>
    </r>
    <r>
      <rPr>
        <sz val="10"/>
        <rFont val="돋움"/>
        <family val="3"/>
        <charset val="129"/>
      </rPr>
      <t>개정</t>
    </r>
    <r>
      <rPr>
        <sz val="10"/>
        <rFont val="Arial"/>
        <family val="2"/>
      </rPr>
      <t xml:space="preserve"> </t>
    </r>
    <r>
      <rPr>
        <sz val="10"/>
        <rFont val="돋움"/>
        <family val="3"/>
        <charset val="129"/>
      </rPr>
      <t>되었는가</t>
    </r>
    <r>
      <rPr>
        <sz val="10"/>
        <rFont val="Arial"/>
        <family val="2"/>
      </rPr>
      <t>?</t>
    </r>
  </si>
  <si>
    <t>Korean</t>
  </si>
  <si>
    <t>中文</t>
    <phoneticPr fontId="14" type="noConversion"/>
  </si>
  <si>
    <t>评价：
不佳：0分
达到期望：1分
超越期望：2分
-以佛吉亚视野的问题定义
-明确的合格和不合格产品区别的定义
-以合格和不合格零件来解释问题</t>
    <phoneticPr fontId="14" type="noConversion"/>
  </si>
  <si>
    <t>开始的日期连接在“Statistik D3-D7”页中，请填写dd.mm.yyyy!</t>
    <phoneticPr fontId="14" type="noConversion"/>
  </si>
  <si>
    <t>评价：
不佳：0分
达到期望：1分(识别出其他产品的风险）
超越期望：2分（识别出其他产品以及保证声明的风险）
-其他产品或者过程的风险是否识别或者报告？
-其他工厂或者客户是否进行警告？</t>
    <phoneticPr fontId="14" type="noConversion"/>
  </si>
  <si>
    <t>其他产品或者过程的风险？
其他车辆潜在的影响？
同样严重的缺陷？
其他工厂是否警告？
缺陷如何被发现？
潜在受到影响的量？</t>
    <phoneticPr fontId="14" type="noConversion"/>
  </si>
  <si>
    <t>有多少潜在受到影响的零件在问题发现之前已经发出？
这些缺陷能否降级让步到特殊的交货或者费用？</t>
    <phoneticPr fontId="14" type="noConversion"/>
  </si>
  <si>
    <t>D4 - Causas Raíz de No-Detección</t>
  </si>
  <si>
    <t>D5 - Causas Raíz de Ocurrencia</t>
  </si>
  <si>
    <t>Causa Raíz</t>
  </si>
  <si>
    <t>Acción Correctiva</t>
  </si>
  <si>
    <t>Piloto</t>
  </si>
  <si>
    <t>Fecha Límite</t>
  </si>
  <si>
    <t>Estado</t>
  </si>
  <si>
    <t xml:space="preserve">D7 - Efectividad/Tracking </t>
  </si>
  <si>
    <t>D8 - Lecciones Aprendidas</t>
  </si>
  <si>
    <t>Warranty</t>
  </si>
  <si>
    <t>Reoccurence</t>
  </si>
  <si>
    <t>Wheel problem</t>
  </si>
  <si>
    <t>Suspension problem</t>
  </si>
  <si>
    <t xml:space="preserve">After high speed driving
</t>
  </si>
  <si>
    <t xml:space="preserve">When driving around town
</t>
  </si>
  <si>
    <t xml:space="preserve">On one car only
</t>
  </si>
  <si>
    <t xml:space="preserve">On other cars of same make
</t>
  </si>
  <si>
    <t xml:space="preserve">Front wheels only
</t>
  </si>
  <si>
    <t>Rear wheels</t>
  </si>
  <si>
    <t>Speed</t>
  </si>
  <si>
    <t>Not serial problem</t>
  </si>
  <si>
    <t>Wheels</t>
  </si>
  <si>
    <t>directed wheels</t>
  </si>
  <si>
    <r>
      <t>IS</t>
    </r>
    <r>
      <rPr>
        <b/>
        <sz val="16"/>
        <color indexed="62"/>
        <rFont val="Arial"/>
        <family val="2"/>
      </rPr>
      <t xml:space="preserve">
(is the problem)</t>
    </r>
  </si>
  <si>
    <r>
      <t>IS NOT</t>
    </r>
    <r>
      <rPr>
        <b/>
        <sz val="16"/>
        <color indexed="62"/>
        <rFont val="Arial"/>
        <family val="2"/>
      </rPr>
      <t xml:space="preserve">
(Is not the problem)</t>
    </r>
  </si>
  <si>
    <t>No detection 5</t>
  </si>
  <si>
    <t>Retained Factors</t>
  </si>
  <si>
    <t>Quoi ? Description du problème / Croquis / photo du défaut (pièces NOK/OK)</t>
  </si>
  <si>
    <t>Muestra la conexión entre las causas raíz identificadas en D4 y D5</t>
  </si>
  <si>
    <t>Reoccurrence</t>
  </si>
  <si>
    <t>Pourquoi est-ce un problème ?</t>
  </si>
  <si>
    <t>Quand cela a-t-il été détecté?</t>
  </si>
  <si>
    <t>Problema repetitivo</t>
  </si>
  <si>
    <t>Riesgo de reclamación de garantías</t>
  </si>
  <si>
    <t>Risque de réclamation garantie</t>
  </si>
  <si>
    <t>Cliente final</t>
  </si>
  <si>
    <t>revisado</t>
  </si>
  <si>
    <t>Punto de corte</t>
  </si>
  <si>
    <t>2. Acciones de contención</t>
  </si>
  <si>
    <t>Fecha última revisión</t>
  </si>
  <si>
    <t>D6 -Acciones permanentes</t>
  </si>
  <si>
    <t>Fecha límite</t>
  </si>
  <si>
    <t>Grado implementación</t>
  </si>
  <si>
    <t>Comment</t>
  </si>
  <si>
    <t>Deutsch</t>
  </si>
  <si>
    <t>D1.1</t>
  </si>
  <si>
    <t>D1.2</t>
  </si>
  <si>
    <t xml:space="preserve">Startdatum dient als Grundlage für die Statistik D3-D7. Bitte dd.mm.jjjj / Monat / Jahr eintragen!
</t>
  </si>
  <si>
    <t>D2.1</t>
  </si>
  <si>
    <t>D2.2</t>
  </si>
  <si>
    <t>Risiko für andere Produkte oder Prozesse ? Risiko für andere Fahrzeuge  ? 
Haben wir die gleiche Bedeutung/ Wichtigkeit bei ähnlichen Komponenten ? 
Sind andere Werke zu warnen ? 
Wie kann der Fehler entdeckt werden ? 
Welche Stückzahlen sind betroffen  ?</t>
  </si>
  <si>
    <t>D2.3</t>
  </si>
  <si>
    <t xml:space="preserve">Wie viele Teile sind vor der Entdeckung und Eindämmung des Fehlers ausgeliefert worden?
Ist eine Eingrenzung der fehlerhaften Anlieferungen (Chargennummer etc.) möglich?
</t>
  </si>
  <si>
    <t>D3.1</t>
  </si>
  <si>
    <t>D3.2</t>
  </si>
  <si>
    <t>D3.3</t>
  </si>
  <si>
    <t xml:space="preserve">Wie wird geprüft / Prüfmethode?
Wie werden die Teile gekennzeichnet?
</t>
  </si>
  <si>
    <t>D5.1</t>
  </si>
  <si>
    <t>Kundenwerk</t>
  </si>
  <si>
    <t>Francais</t>
  </si>
  <si>
    <t>Espanol</t>
  </si>
  <si>
    <t>Polski</t>
  </si>
  <si>
    <t xml:space="preserve">Please fill out the worksheets „ISHIKAWA“ &amp; „5Why“ or „Is-Is Not“ &amp; „5 Why“
</t>
  </si>
  <si>
    <t>Merci de renseigner "Ishikawa" &amp; "5WHY" ou analyse "Est/N'est pas" &amp; "5WHY"!</t>
  </si>
  <si>
    <t>Por favor cumplimente  "Ishikawa" &amp; "5WHY" o Análisis "Es/No es" &amp; "5WHY"!</t>
  </si>
  <si>
    <t>Proszę wypełnić arkusze "Ishikawa" &amp; "5WHY" lub "Is/Is not" &amp; "5WHY"!</t>
  </si>
  <si>
    <t>Fulfill D4&amp;D5</t>
  </si>
  <si>
    <t>IS/IS NOT</t>
  </si>
  <si>
    <t>5 Why</t>
  </si>
  <si>
    <t>Counter-measure efficients?</t>
  </si>
  <si>
    <t>"Ishikawa" "Is/Is not" "5Why"ok</t>
  </si>
  <si>
    <t>D1 - Description du problème : détection/création</t>
  </si>
  <si>
    <t>Wjaki sposób części były sprawdzone?
W jaki sposób są oznaczone sztuki OK.?</t>
  </si>
  <si>
    <t>Nalezy wymienić każdą potwierdzoną przyczynę wystapienia z oznaczeniem Occ1, Occ2 itd. Przyczynye wystapienie powinny być wynikiem analiz i 5Why.</t>
  </si>
  <si>
    <t>Należy odnieść się do przyczyn wykazanych w sekcji D4 i D5</t>
  </si>
  <si>
    <t>Faurecia Customer</t>
  </si>
  <si>
    <t>comments</t>
  </si>
  <si>
    <t>Supplier</t>
  </si>
  <si>
    <t>Statistics (D3 + D7)</t>
  </si>
  <si>
    <t>5Why</t>
  </si>
  <si>
    <t>Ishikawa</t>
  </si>
  <si>
    <t>Usine client</t>
  </si>
  <si>
    <t>Planta cliente</t>
  </si>
  <si>
    <t>Créé par (nom/position):</t>
  </si>
  <si>
    <t>Creado (nombre/posición):</t>
  </si>
  <si>
    <t>pressure</t>
  </si>
  <si>
    <t>Pressure at the  minimum limit</t>
  </si>
  <si>
    <t>Pressure at the maximum limit</t>
  </si>
  <si>
    <t>Summer tire</t>
  </si>
  <si>
    <t>Winter tire</t>
  </si>
  <si>
    <t>tire</t>
  </si>
  <si>
    <r>
      <t>Ä</t>
    </r>
    <r>
      <rPr>
        <b/>
        <sz val="10"/>
        <rFont val="Arial"/>
        <family val="2"/>
      </rPr>
      <t>The analysis "Is / Is not" shows that the problems occurs only at high speed, with summer tires on the directed wheels.</t>
    </r>
  </si>
  <si>
    <t>occurrence 1</t>
  </si>
  <si>
    <t>occurrence 2</t>
  </si>
  <si>
    <t>occurrence 3</t>
  </si>
  <si>
    <t>occurrence 4</t>
  </si>
  <si>
    <t>occurrence 5</t>
  </si>
  <si>
    <t>Occurrence D5</t>
  </si>
  <si>
    <t>Created by (name/position):</t>
  </si>
  <si>
    <t>Deadline met:</t>
  </si>
  <si>
    <t>FMEA missing</t>
  </si>
  <si>
    <t>8DContent</t>
  </si>
  <si>
    <t xml:space="preserve">Erstellt durch(Name/Position): </t>
  </si>
  <si>
    <t>Nombre del Proveedor</t>
  </si>
  <si>
    <t>Lieferantenname</t>
  </si>
  <si>
    <t>Facility and Customer</t>
  </si>
  <si>
    <t>Wyrób /
Numer części</t>
  </si>
  <si>
    <t>Opis części</t>
  </si>
  <si>
    <t>Data rozpoczęcia</t>
  </si>
  <si>
    <t>Co jest Problemem?
Opis problemu (części NOK/OK.)</t>
  </si>
  <si>
    <t>Co jest problemem?</t>
  </si>
  <si>
    <t>Gdzie został wykryty?</t>
  </si>
  <si>
    <t>Kiedy został wykryty?</t>
  </si>
  <si>
    <t>Kto odkrył?</t>
  </si>
  <si>
    <t>Jak został odkryty?</t>
  </si>
  <si>
    <t>Data produkcji części</t>
  </si>
  <si>
    <t xml:space="preserve">związana z S/R </t>
  </si>
  <si>
    <t>Dostawca</t>
  </si>
  <si>
    <t>D2 - Ryzyko wystąpienia w podobnych produktach lub wyrobach</t>
  </si>
  <si>
    <t>Ryzyka reklamacji pogwarancyjnej</t>
  </si>
  <si>
    <t>D3 - Działania Natychmiastowe</t>
  </si>
  <si>
    <t>Akcje
efektywne
w przeciągu</t>
  </si>
  <si>
    <t>Klient poinformowany</t>
  </si>
  <si>
    <t>1. Sortowanie w lokalizacjach</t>
  </si>
  <si>
    <t>Lokalizacja</t>
  </si>
  <si>
    <t>Sprawdzonych</t>
  </si>
  <si>
    <t>Komentarze / Wnioski</t>
  </si>
  <si>
    <t>Klient</t>
  </si>
  <si>
    <t>Akcje</t>
  </si>
  <si>
    <t>Evaluación:
No satisfactoria:  0 puntos
 conforme a las expectativas : 1 punto
 excede las expectativas: 2 puntos
Factores relativos a cómo se produjo el defecto.
POR QUÉ HA OCURRIDO ESTA VEZ Y NO OTRAS VECES?
- Se han validado lógicamente los factores?
- Busca la evidencia en relación a la diferencia entre las piezas buenas y malas.
Existe una evidencia que sugiere que los factores han sido examinados como parte de la confirmación?
- El análisis muestra claramente el por qué de las piezas rechazadas y por qué ha ocurrido el problema esta vez?</t>
  </si>
  <si>
    <r>
      <t xml:space="preserve">Evaluación:
no satisfactoria:  0 puntos
 conforme a las expectativas: 1 punto
 excede las expectativas: 2 puntos
El status de las acciones es claro:
                 -25% / 50% / 75% / 100%
                  -Implementado y revisado
- El problema puede reproducirse ajustando los parámetros del proceso.
- Las acciones deben incluir cambios en el producto o proceso. 
</t>
    </r>
    <r>
      <rPr>
        <u/>
        <sz val="10"/>
        <rFont val="Arial"/>
        <family val="2"/>
      </rPr>
      <t>Formación del operario NO es suficiente!</t>
    </r>
  </si>
  <si>
    <t xml:space="preserve">Evaluación:
no satisfactoria:  0 puntos (ninguna información en el tabla de seguimiento de la contención)
 conforme a las expectativas : 1 punto
 excede expectativas: 2 puntos (tabla de seguimiento debidamente actualizado, hasta el cierre del 8D)
- La tabla de seguimiento debe confirmar la eficacia de las acciones permanentes.
- No se ha repetido en el cliente. Un muro de calidad interno comprueba la eficacia del control final de línea.
</t>
  </si>
  <si>
    <t xml:space="preserve">Pilot </t>
  </si>
  <si>
    <t xml:space="preserve">   5 WHY: Deeper root cause analysis of general causes identified with Ishikawa or IS/IS NOT</t>
  </si>
  <si>
    <t>Part name</t>
  </si>
  <si>
    <t xml:space="preserve">           2. Containment Actions</t>
  </si>
  <si>
    <t xml:space="preserve"> Customer facilty</t>
  </si>
  <si>
    <t xml:space="preserve">Comment les pièces sont elles vérifiées?
Comment les pièces bonnes sont elles identifiées?
</t>
  </si>
  <si>
    <t>Please open the sheet below "Statistics (D3+D7)" and fill the data inside.
Thank you</t>
  </si>
  <si>
    <t xml:space="preserve">Bitte Sortierergebnisse in das Tabellenblatt "Statistics (D3+D7)" eintragen!
</t>
  </si>
  <si>
    <t xml:space="preserve">Merci de remplir la feuille de calcul "Statistics (D3+D7)"!
</t>
  </si>
  <si>
    <t>Gracias por cumplimentar la pagina "Statistics (D3+D7)"!</t>
  </si>
  <si>
    <t>Dane z sortowania proszę wpisać w arkuszu "Statistics (D3+D7)"!</t>
  </si>
  <si>
    <t>Пожалуйста откройте лист "Statistics (D3+D7)" ниже и заполните таблицу (Статистика Д3-Д7)!</t>
  </si>
  <si>
    <t>Por favor abrir a folha abaixo "Statistics (D3+D7)" e preencher os dados dentro.
Obrigada</t>
  </si>
  <si>
    <r>
      <rPr>
        <sz val="10"/>
        <rFont val="돋움"/>
        <family val="3"/>
        <charset val="129"/>
      </rPr>
      <t>아래</t>
    </r>
    <r>
      <rPr>
        <sz val="10"/>
        <rFont val="Arial"/>
        <family val="2"/>
      </rPr>
      <t xml:space="preserve"> "Statistics (D3+D7)" sheet</t>
    </r>
    <r>
      <rPr>
        <sz val="10"/>
        <rFont val="돋움"/>
        <family val="3"/>
        <charset val="129"/>
      </rPr>
      <t>를</t>
    </r>
    <r>
      <rPr>
        <sz val="10"/>
        <rFont val="Arial"/>
        <family val="2"/>
      </rPr>
      <t xml:space="preserve"> </t>
    </r>
    <r>
      <rPr>
        <sz val="10"/>
        <rFont val="돋움"/>
        <family val="3"/>
        <charset val="129"/>
      </rPr>
      <t>열어</t>
    </r>
    <r>
      <rPr>
        <sz val="10"/>
        <rFont val="Arial"/>
        <family val="2"/>
      </rPr>
      <t xml:space="preserve"> </t>
    </r>
    <r>
      <rPr>
        <sz val="10"/>
        <rFont val="돋움"/>
        <family val="3"/>
        <charset val="129"/>
      </rPr>
      <t>데이터를</t>
    </r>
    <r>
      <rPr>
        <sz val="10"/>
        <rFont val="Arial"/>
        <family val="2"/>
      </rPr>
      <t xml:space="preserve"> </t>
    </r>
    <r>
      <rPr>
        <sz val="10"/>
        <rFont val="돋움"/>
        <family val="3"/>
        <charset val="129"/>
      </rPr>
      <t>입력해주십시오</t>
    </r>
    <r>
      <rPr>
        <sz val="10"/>
        <rFont val="Arial"/>
        <family val="2"/>
      </rPr>
      <t xml:space="preserve">
</t>
    </r>
    <r>
      <rPr>
        <sz val="10"/>
        <rFont val="돋움"/>
        <family val="3"/>
        <charset val="129"/>
      </rPr>
      <t>감사합니다</t>
    </r>
    <r>
      <rPr>
        <sz val="10"/>
        <rFont val="Arial"/>
        <family val="2"/>
      </rPr>
      <t>.</t>
    </r>
  </si>
  <si>
    <t>请打开“Statistics (D3+D7)”页，并在里面填写数据</t>
  </si>
  <si>
    <t>Bauteilbezeichnung</t>
  </si>
  <si>
    <t>New FMEA evaluation</t>
  </si>
  <si>
    <t>-/+ 10%</t>
  </si>
  <si>
    <t>Bewertung:
schlecht :  0 Punkte 
gut:    1 Punkt 
über den Erwartungen: 2 Punkte (z.B. Sortiermethode und Kennzeichnung eindeutig und je Sortieradresse beschrieben; Zeitpunkt der OK-Garantie eindeutig)
-Wurde die Prüfmethode eindeutig beschrieben und eine Arbeitsanweisung erstellt? Sind die Maßnahmen wirksam?
- Wurde während der Sortiermaßnahmen die max. Zahl an Daten gesammelt um bei der Problemdefinition zu helfen? Sind echte Daten verfügbar? D.h. Zahl der Defekte/Zahl der Geprüften/Tag/Schicht etc.?
- Wurden Aktionen unternommen um den Kunden bei ähnlichen Produkten zu schützen?</t>
  </si>
  <si>
    <t>Bewertung:
schlecht:  0 Punkte 
gut:    1 Punkt 
sehr gut /über den Erwartungen: 2 Punkte 
WARUM NICHT GEFUNDEN?
- Faktoren bezüglich Ihrer Entdeckung:
- Sind die validierten Faktoren logisch? 
-Welcher Beweis stützt die Validierung des Faktors? 
- Werkzeuge: 5Why; Gage R+R</t>
  </si>
  <si>
    <t>Bewertung:
schlecht:  0 Punkte 
gut:    1 Punkt 
sehr gut /über den Erwartungen: 2 Punkte 
WARUM DIESMAL PASSIERT UND NICHT EIN ANDERN MAL?
- Sind die validierten Faktoren logisch? Beweise in Verbindung mit den Unterschieden zwischen guten und schlechten Teilen
-Welcher Beweis stützt die Validierung des Faktors? Gibt es Beweise, dass die Faktoren im Rahmen der Bestätigung "geprüft" wurden?  
- Zeigt die Analyse, warum die aktuelle Zahl der Teile reklamiert wurde und warum Sie zu diesem Zeitpunkt aufgetreten sind?</t>
  </si>
  <si>
    <t>Bewertung:
schlecht:  0 Punkte 
gut:    1 Punkt 
sehr gut /über den Erwartungen: 2 Punkte 
Status der Abstellmaßnahme ist klar:
               - 25% / 50% / 75% / 100%
               -Umgesetzt und geprüft
- Durch Anpassung der Prozessparameter kann das Problem reproduziert werden.
- Gegenmaßnahmen sollten Änderungen entweder am Produkt oder am Prozess enthalten.
Erneutes trainieren der Werker ist nicht allein ausreichend!</t>
  </si>
  <si>
    <t>Serial</t>
  </si>
  <si>
    <t>Gwarancja</t>
  </si>
  <si>
    <t>Program</t>
  </si>
  <si>
    <t>Logistic</t>
  </si>
  <si>
    <t>Serie</t>
  </si>
  <si>
    <t>Garantía</t>
  </si>
  <si>
    <t>Programa</t>
  </si>
  <si>
    <t>Logística</t>
  </si>
  <si>
    <t>Série</t>
  </si>
  <si>
    <t>Garantie</t>
  </si>
  <si>
    <t>Programm</t>
  </si>
  <si>
    <t>Logistik</t>
  </si>
  <si>
    <t>Jak wiele wadliwych części?</t>
  </si>
  <si>
    <t xml:space="preserve"> Logistique</t>
  </si>
  <si>
    <t>Incy- dent 1</t>
  </si>
  <si>
    <t>Incy- dent 2</t>
  </si>
  <si>
    <t>Incy- dent 3</t>
  </si>
  <si>
    <t>Incy- dent 4</t>
  </si>
  <si>
    <t>Wykry- cie 1</t>
  </si>
  <si>
    <t>Wykry- cie 2</t>
  </si>
  <si>
    <t>Wykry- cie 3</t>
  </si>
  <si>
    <t>Wykry- cie 4</t>
  </si>
  <si>
    <t>Occ 1</t>
  </si>
  <si>
    <t>Occ 2</t>
  </si>
  <si>
    <t>Occ 3</t>
  </si>
  <si>
    <t>Occ 4</t>
  </si>
  <si>
    <t>Det 1</t>
  </si>
  <si>
    <t>Det 2</t>
  </si>
  <si>
    <t>Det 3</t>
  </si>
  <si>
    <t>Det 4</t>
  </si>
  <si>
    <t>Gewährleistung</t>
  </si>
  <si>
    <t xml:space="preserve">Combien de pièces ont été potentiellement délivrées avec le problème détecté ?
Peut on réduire les recherches à un numéro d’envoi précis ?
</t>
  </si>
  <si>
    <t xml:space="preserve">Evaluation
mauvaises: 0 point
en accord avec les attentes :  1 point
très bonne: 2 points
POURQUOI LE DEFAUT N'A-T-IL PAS ETE DETECTE 
-Les causes retenues sont elles en rapport avec la non détection?
-La cause racine a-t-elle été validée de façon logique?
-Quelles preuves appuient les facteurs retenus?
-Outils: 5Why, R &amp; R
</t>
  </si>
  <si>
    <t xml:space="preserve">Evaluation
mauvaises: 0 point 
en accord avec les attentes : 1 point
très bonne: 2 points
POURQUOI LE DEFAUT SE PRODUIT CETTE FOIS-CI ET PAS D’AUTRES FOIS
- Les causes racines ont-t-elles été validées de façon logique ?
- La recherche des différences entre bonnes pièces et mauvaises piéces permet-elle de valider les causes retenues, en répétant le défaut?
- L'analyse montre t'elle pourquoi cette quantité de pièces, est rejetée et pourquoi cela se produit cette fois ci?
</t>
  </si>
  <si>
    <t xml:space="preserve">Evaluation
mauvaises: 0 point
en accord avec les attentes : 1 point
très bonne: 2 points
Le statut des contre-mesures est clair:
                   25% / 50% / 75% / 100%
                   Mises en œuvre et vérifié
- En ajustant les paramètres du procédé, peut-on reproduire le défaut
- Les contre-mesures doivent modifier directement le procédé de fabrication
Reformer les opérateurs n'est pas une action!
</t>
  </si>
  <si>
    <t xml:space="preserve">Evaluation
mauvaises:0 point  (aucune information dans la feuille statistik D3-D7)
en accord avec les attentes : 1 point
très bonne: 2 points (les tableaux de suivis sont continuellement mis à jour jusqu’à la fermeture du 8D)
- Le graphique de suivi doit confirmer l'efficacité des actions prises.
- Aucune réapparition chez le client, Un mur qualité en interne vérifie l'efficacité du contrôle en fin de ligne
</t>
  </si>
  <si>
    <t xml:space="preserve">Evaluation
mauvaises: 0 point
en accord avec les attentes : 1 point
très bonne: 2 points
FMEA non mis à jour: -2 points
- Est-ce qu'une potentielle « leçon apprise » a été clairement identifiée?
- Cette leçon apprise a-t-elle été utilisée pour améliorer les nouveaux produits?
- Un nouveau standard, ou une nouvelle norme ont ils été créés?
Le FMEA a-t-il été mis á jour?
</t>
  </si>
  <si>
    <t>FMEA, plan de contrôle, plan de maintenance, documents de bureau, fréquence des audits, pièces de référence, source de données des connaissances de management / produit standard ou procédé standard, Lesson Learned Sheet…</t>
  </si>
  <si>
    <t>Qui l'a détecté?</t>
  </si>
  <si>
    <t>Où cela a-t-il été détecté?</t>
  </si>
  <si>
    <t>Désignation de la pièce</t>
  </si>
  <si>
    <t>Bewertung:
schlecht :  0 Punkte (Datenblatt "Statistik (D3-D7)" nicht ")
gut/expected:    1 Punkt / point
sehr gut : über den Erwartungen: 2 Punkte  (Statistik D3-D7  bis 8D-Abschluss geführt; Maßnahmen wirksam)
- Das Tracking-Chart zeigt die Wirksamkeit der Gegenmaßnahmen.
- Keine erneutes Auftreten des Fehlers beim Endkunden. Eine interne Quality Wall bestätigte die Wirksamkeit der Endprüfung.</t>
  </si>
  <si>
    <t>Bewertung:
schlecht:  0 Punkte 
gut: 1 Punkt
sehr gut: über den Erwartungen : 2 Punkte
Fehler nicht in FMEA bewertet : -2 Punkte 
- Wurde ein eindeutiges Lernergebnis ermittelt?
- Wurde es genutzt um neue Produkte zu verbessern? 
- Wurde ein Standard oder eine Norm erstellt?</t>
  </si>
  <si>
    <t>D5.2</t>
  </si>
  <si>
    <t>Aufstellung jeder bestätigten Fehlerursache ( Grund 1, Grund 2 etc ) . Die Fehlerursachen wurden mit Hilfe der Faktorenuntersuchung und 5 WHY bestätigt.</t>
  </si>
  <si>
    <t>D6.1</t>
  </si>
  <si>
    <t>D6.2</t>
  </si>
  <si>
    <t>Eindeutige Verbindung zwischen Ursachen und eingeführten Maßnahmen muss dargestellt werden.</t>
  </si>
  <si>
    <t>Montre le lien entre les causes racines identifiées en D4 &amp; D5</t>
  </si>
  <si>
    <t>Actions</t>
  </si>
  <si>
    <t>Pilot</t>
  </si>
  <si>
    <t>Status</t>
  </si>
  <si>
    <t>Deadline</t>
  </si>
  <si>
    <t>Statut</t>
  </si>
  <si>
    <t>Pilote</t>
  </si>
  <si>
    <t>Potential volume impacted : what is the suspected lot size ? Traceability - first occured, last OK</t>
  </si>
  <si>
    <r>
      <t xml:space="preserve">Defect short story </t>
    </r>
    <r>
      <rPr>
        <b/>
        <sz val="10"/>
        <rFont val="Arial"/>
        <family val="2"/>
      </rPr>
      <t>(do you understand the failure mechanism ?)</t>
    </r>
  </si>
  <si>
    <t>Additional Investigation to evaluate criticity and repeatability of the defect</t>
  </si>
  <si>
    <t>Are cars already in the field and thus is there a risk to the final users ?</t>
  </si>
  <si>
    <t>D8 - Lessons Learned</t>
  </si>
  <si>
    <t>Produkt/
Teilenummer</t>
  </si>
  <si>
    <t>D2 - Risiko für ähnliche Produkte und/ oder Prozesse</t>
  </si>
  <si>
    <t>D3 - Maßnahmen zur Eindämmung
 des Problems</t>
  </si>
  <si>
    <t>Ort</t>
  </si>
  <si>
    <t>Aktionen</t>
  </si>
  <si>
    <t>8D eröffnet:</t>
  </si>
  <si>
    <t>Ursache</t>
  </si>
  <si>
    <t>Aktion</t>
  </si>
  <si>
    <t xml:space="preserve">D5 - 
Gründe für das Auftreten des Fehlers </t>
  </si>
  <si>
    <t>Kommentar/ Bewertung</t>
  </si>
  <si>
    <t>Fehlerbewertung</t>
  </si>
  <si>
    <t>Faurecia</t>
  </si>
  <si>
    <t xml:space="preserve">  Programme</t>
  </si>
  <si>
    <t>Récurrence</t>
  </si>
  <si>
    <t>Occ 5</t>
  </si>
  <si>
    <t>Incy- dent 5</t>
  </si>
  <si>
    <t>Wykry- cie 5</t>
  </si>
  <si>
    <t>Det 5</t>
  </si>
  <si>
    <t>Lieferant</t>
  </si>
  <si>
    <t>Startdatum</t>
  </si>
  <si>
    <t>Logical Thinking Assessment matrix</t>
  </si>
  <si>
    <t>8D 
REF</t>
  </si>
  <si>
    <t>Frage Nummer</t>
  </si>
  <si>
    <t>Logical Thinking  Evaluierungskriterium</t>
  </si>
  <si>
    <t>Level 1</t>
  </si>
  <si>
    <t>Level 2</t>
  </si>
  <si>
    <t>Level 3</t>
  </si>
  <si>
    <t>Nützliche Hinweise</t>
  </si>
  <si>
    <t>schlecht</t>
  </si>
  <si>
    <t>Entspricht den Erwartungen</t>
  </si>
  <si>
    <t>Gut (über den Erwartungen)</t>
  </si>
  <si>
    <t>D1
D2
D3</t>
  </si>
  <si>
    <t>1
(D1)</t>
  </si>
  <si>
    <t>0 Punkte</t>
  </si>
  <si>
    <t>1 Punkt</t>
  </si>
  <si>
    <t>2 Punkte</t>
  </si>
  <si>
    <t>D4 
TO
D7</t>
  </si>
  <si>
    <t>4
(D4)</t>
  </si>
  <si>
    <t xml:space="preserve">
Faktoren bezüglich Ihrer Entdeckung:
Sind die validierten Faktoren logisch?
Welcher Beweis stützt die Validierung des Faktors?
</t>
  </si>
  <si>
    <t>Suchen Sie nach Beweisen in Verbindung mit den Unterschieden zwischen guten und schlechten Teilen. 
Gibt es Beweise, dass die Faktoren im Rahmen der Bestätigung "geprüft" wurden?</t>
  </si>
  <si>
    <t>5
(D5)</t>
  </si>
  <si>
    <t xml:space="preserve">
Faktoren bezüglich Ihrer Entstehung:
Sind die validierten Faktoren logisch?
Welcher Beweis stützt die Validierung des Faktors?
</t>
  </si>
  <si>
    <t>6
(5 Whys D4 &amp;D5)</t>
  </si>
  <si>
    <t xml:space="preserve">
Jeder bestätigte Faktor sollte mit den 5 Warum's untersucht werden.
Jeder Schritt der 5 Warums muss durch Beweise für die Logik unterlegt sein.</t>
  </si>
  <si>
    <t>5 Warums sollten zu Management-Fehler führen, z.B. warum wurde das Problem nicht in der FMEA berücksichtig?</t>
  </si>
  <si>
    <t>7
(D6)</t>
  </si>
  <si>
    <t xml:space="preserve">
Status der Gegenmaßnahme ist klar:
-Komplett / Umgesetzt
-Umgesetzt und geprüft
Durch Anpassung der Prozessparameter kann das Problem reproduziert werden.</t>
  </si>
  <si>
    <t>Gegenmaßnahmen sollten Änderungen entweder am Produkt oder am Prozess enthalten.
Erneutes trainieren der Werker ist nicht ausreichend.</t>
  </si>
  <si>
    <t>8
(D7)</t>
  </si>
  <si>
    <t>Das Tracking-Chart soll die Wirksamkeit der Gegenmaßnahmen bestätigen.
Keine Fehler von externen und internen Kunden
Keine Wiederholung im Linien QRQC</t>
  </si>
  <si>
    <t>-2 Punkte</t>
  </si>
  <si>
    <t xml:space="preserve">D8
</t>
  </si>
  <si>
    <t>9
(D8)</t>
  </si>
  <si>
    <t xml:space="preserve">
Wurde ein eindeutiges Lernergebnis ermittelt?
Wurde es genutzt um neue Produkte zu verbessern? 
</t>
  </si>
  <si>
    <t>English</t>
  </si>
  <si>
    <t>How are the parts checked?
How are the ok-parts marked?</t>
  </si>
  <si>
    <t>Dónde  fue detectado?</t>
  </si>
  <si>
    <t>Cuándo fue detectado?</t>
  </si>
  <si>
    <t>Cuántos piezas estan con el problema?</t>
  </si>
  <si>
    <t>Por qué  es un problema?</t>
  </si>
  <si>
    <t>Quién lo ha detectado ?</t>
  </si>
  <si>
    <t xml:space="preserve">
evaluation:
bad:  0 points
expected:    1 point
more than expectation: 2 points ( full description of containment action; clear definition of Clean Point)
- Was the containment action described in detail and was a working instruction created?  
- Is the real data available?  During sorting look for the maximum amount of data collected to help define the problem?
- Have actions been taken to protect the customer on similar products?</t>
  </si>
  <si>
    <t>Evaluation:
schlecht / bad:  0 points 
gut/expected:    1 point
more than expectation: 2 points
FMEA not updated: -2 points
- Was a clear learning potential identified?
- Was it used to improve new products?
- Has a standard or norm been created?
- Has FMEA been updated?</t>
  </si>
  <si>
    <t>Ocena:
źle:  0 punktów (brak danych w arkuszu "Stastistik (D3-D7) ) 
dobry:    1 Punkt
bardzo dobry: 2 punkty (arkusz "Statistik D3-D7" systematycznie wypełniany do zamknięcia raportu 8D)
- Arkusz śledzenia problemu powinien potwierdzać skuteczność działań korygujących
- Brak powtórzeń problemu u klienta. Wewnętrzna ściana jakości zweryfikowała skuteczność kontroli końcowej.</t>
  </si>
  <si>
    <r>
      <t>Ocena:
źle:  0 punktów
dobry:    1 Punkt  (ryzyko na innych produktach zidentyfikowane)
bardzo dobry: 2 punkty 
Status działań korygującyh może być:
                 25%/50%/75%/100%
                 wprowadzone i sprawdzone
Poprzez zmianę parametrów problem może być odtworzony
Działania korygujące powinny dotyczyć zmian zarówno w produkcie i w procesie</t>
    </r>
    <r>
      <rPr>
        <u/>
        <sz val="10"/>
        <rFont val="Arial"/>
        <family val="2"/>
      </rPr>
      <t xml:space="preserve">
Szkolenie operatora jest niewystarczające!</t>
    </r>
  </si>
  <si>
    <t xml:space="preserve"> Program</t>
  </si>
  <si>
    <t>Logistics</t>
  </si>
  <si>
    <t>Bitte auch die Tabellenblätter "Ishikawa" &amp; "5 WHY" oder "Ist/Ist-Nicht" &amp; "5 WHY" füllen!</t>
  </si>
  <si>
    <t>Дата начала</t>
  </si>
  <si>
    <t>Ocena:
źle:  0 punktów
dobry:    1 Punkt  (ryzyko na innych produktach zidentyfikowane)
bardzo dobry: 2 punkty 
Czynniki, sprzyjające wyprodukowaniu złej sztuki:
Dlaczego tym razem wystąpił błąd a innym nie?
- Czy przyczyny wystąpienia są logiczne
- Czy znaleziono powód różnicy między dobrymi i złymi sztukami
Czy jest dowód, że czynniki zostały zweryfikowane, czy zreprodukowano złą sztukę? 
- Czy z analizy wynika ilość złych sztuk oraz powód wystąpienia</t>
  </si>
  <si>
    <t>Ocena:
źle:  0 punktów
dobry:    1 Punkt  (ryzyko na innych produktach zidentyfikowane)
bardzo dobry: 2 punkty 
DACZEGO NIE WYKRYTO?
- Czynniki wpływające na niewykrycie:
 -czy przyczyny są logiczne?
 -jakie są dowody na poparcie wybranych przyczyn
 -narzędzia: 5Why, Gage R+R</t>
  </si>
  <si>
    <t>1D - Описание Проблемы: 5 W+2 H обнаружение / возникновение</t>
  </si>
  <si>
    <t>D5 - Основная причина возникновения</t>
  </si>
  <si>
    <t>D6 -  Долгосрочные  / Предупредительные Действия</t>
  </si>
  <si>
    <t>Номер проблемы качества
Предупреждение и PF-категория</t>
  </si>
  <si>
    <t>Название /
Номер части</t>
  </si>
  <si>
    <t>Название части</t>
  </si>
  <si>
    <t>Основная причина</t>
  </si>
  <si>
    <t>Корректирующие мероприятия</t>
  </si>
  <si>
    <t>Срок закрытия</t>
  </si>
  <si>
    <t>Гарантия</t>
  </si>
  <si>
    <t>(1W) Что за проблема?
Описание проблемы (части NOK/OK)</t>
  </si>
  <si>
    <t>(2W) В чем проблема?</t>
  </si>
  <si>
    <t>(3W) Где была обнаружена?</t>
  </si>
  <si>
    <t>(4W) Когда была обнаружена?</t>
  </si>
  <si>
    <t>Причина 1</t>
  </si>
  <si>
    <t>(5W) Кем была обнаружена?</t>
  </si>
  <si>
    <t>Причина  2</t>
  </si>
  <si>
    <t>(1H) Как была обнаружена?</t>
  </si>
  <si>
    <t>Причина 3</t>
  </si>
  <si>
    <t>(2H) Сколько дефектных частей?</t>
  </si>
  <si>
    <t>Причина  4</t>
  </si>
  <si>
    <t>Причина  5</t>
  </si>
  <si>
    <t>Повторная претензия</t>
  </si>
  <si>
    <t>Заполнить листы "Ishikawa" &amp; "5WHY" или "Is/Is not" &amp; "5WHY"!</t>
  </si>
  <si>
    <t>D2 - Риск возникновения проблемы на похожих продуктах или в процессах</t>
  </si>
  <si>
    <t>D7 - Эффективность/Отслеживание</t>
  </si>
  <si>
    <t>D3 -  Сдерживающие мероприятия</t>
  </si>
  <si>
    <t>Эффективные действия в</t>
  </si>
  <si>
    <t>Клиент оповещен</t>
  </si>
  <si>
    <t>Место положение</t>
  </si>
  <si>
    <t>Проверено</t>
  </si>
  <si>
    <t>Комментарии / Выводы</t>
  </si>
  <si>
    <t>Повторение дефекта на заводе потребителя Faurecia. Почему не эффективны сдерживающие мероприятия/ корректрующие мероприятия</t>
  </si>
  <si>
    <t>Действие</t>
  </si>
  <si>
    <t>Завершение</t>
  </si>
  <si>
    <t>FMEA, план контроля, план обслуживания, документы на рабочем месте, частота аудитов, пограничные образцы , управление базой знаний / стандарты продукта или процесса, Карта изученных уроков…</t>
  </si>
  <si>
    <t xml:space="preserve">   2.  Сдерживающие действия</t>
  </si>
  <si>
    <t>Причина 2</t>
  </si>
  <si>
    <t>Причина 4</t>
  </si>
  <si>
    <t>Причина 5</t>
  </si>
  <si>
    <t>Разработано (ФИО/ должность):</t>
  </si>
  <si>
    <t xml:space="preserve">    8D-Оценка [%]</t>
  </si>
  <si>
    <t>Русский</t>
  </si>
  <si>
    <t>Нужно было обменять каждую подтвержённую причину вылазки с обозначением Оcc1, Оcc2 и т. д. Причины вылазки должен быть результатом анализов и 5 Почему.</t>
  </si>
  <si>
    <t xml:space="preserve">Оценка: плохо - 0 пунктов;
ожидается - 1 пункт; 
хорошо, более чем ожидалось - 2 пункта
- Проблема определённа с точки зрения Форесии;
- Ясное описание отличия между хорошей и дефектной деталью; 
- Использовать Хорошую и Плохую деталь для объяснения проблемы
- Так / Не: разве проблема осталась ясно и детально описанная, нп.: без обобщений? Масштаб проблемы остался свернут? </t>
  </si>
  <si>
    <t>Дата начала связана с листом "Statistik D3-D7" (Статистика Д3-Д7).
Пожалуйста заполните в формате ДД.ММ.ГГГГ!</t>
  </si>
  <si>
    <t>Оценка:
плохо:  0 пунктов
ожидается:    1 пункт  (риск для других продуктов определен)
хорошо: 2 пункта (риск на других продуктов и риск гарантийного случая определен)
- Потенциальные риски на других продуктах или процессах определены и сообщены?
- Другие заводы/клиенты оповещены?</t>
  </si>
  <si>
    <t xml:space="preserve">Возможен ли риск на других продуктах или процессах?
Подвергаются ли другие транспортные средства воздействию?
Какова спепень серьезности дефекта?
Другие заводы оповещены?
Как дефект может быть определен?
Потенциальный объм на который оказано влияние? </t>
  </si>
  <si>
    <t>Сколько потенциально дефектных деталей было поставлено до обнаружения проблемы?
Можно ли ограничить объем проблемы партией или поставкой?</t>
  </si>
  <si>
    <t xml:space="preserve">Actions 
effective 
within
</t>
  </si>
  <si>
    <t>Warum ist es ein Problem?</t>
  </si>
  <si>
    <t/>
  </si>
  <si>
    <t xml:space="preserve">Maßnahmen                                                                                     
wirksam 
innerhalb
</t>
  </si>
  <si>
    <t xml:space="preserve">     &lt; 2h (initiated)
     &lt; 24h
     &gt; 24h
</t>
  </si>
  <si>
    <t xml:space="preserve">Datum/ Uhrzeit
-Einführung der Maßnahme </t>
  </si>
  <si>
    <t xml:space="preserve">Actions 
efficaces
en
</t>
  </si>
  <si>
    <t>Qué? Descripción del Problema / Dibujo / Foto del defecto (piezas NOK/OK)</t>
  </si>
  <si>
    <t xml:space="preserve">Acción
efectiva
en
</t>
  </si>
  <si>
    <t>D1- Descrição do Problema: 5W+2H Detecção/ Ocorrência</t>
  </si>
  <si>
    <t>D4- Causa Raíz Não Detecção</t>
  </si>
  <si>
    <t>D6- Medidas Defensivas Permanentes</t>
  </si>
  <si>
    <t>Reclamação não aceite (Porquê?)</t>
  </si>
  <si>
    <t>Acção Correctiva</t>
  </si>
  <si>
    <t>Prazo Final</t>
  </si>
  <si>
    <t>Cliente</t>
  </si>
  <si>
    <t>QP Número
 Alerta/ 
&amp; PF - Categoria</t>
  </si>
  <si>
    <t>Produto/
Referência</t>
  </si>
  <si>
    <t>Designação</t>
  </si>
  <si>
    <t>Data de início</t>
  </si>
  <si>
    <t>Qual é o Problema?
Descrição do Problema
(Peças OK/NOK)</t>
  </si>
  <si>
    <t>Porque é um problema?</t>
  </si>
  <si>
    <t>Onde foi detectado?</t>
  </si>
  <si>
    <t>Quando foi detectado?</t>
  </si>
  <si>
    <t>Quem detectou?</t>
  </si>
  <si>
    <t>Quantos peças defeituosas?</t>
  </si>
  <si>
    <t>Reocurrência</t>
  </si>
  <si>
    <t>S/R relevante</t>
  </si>
  <si>
    <t>Garantia</t>
  </si>
  <si>
    <t>Data da peça fabricada</t>
  </si>
  <si>
    <t>Nome Fornecedor</t>
  </si>
  <si>
    <t>D2- Riscos em Produtos Similares e Processos</t>
  </si>
  <si>
    <t>D5- Causa Raíz Ocurrência</t>
  </si>
  <si>
    <t>D7/ Eficácia/ Seguimento</t>
  </si>
  <si>
    <t>Riscos de reclamações de garantia</t>
  </si>
  <si>
    <t>D3-Contenção</t>
  </si>
  <si>
    <t>Acções efectivas dentro</t>
  </si>
  <si>
    <t xml:space="preserve">     &lt; 2h (iniciado)
     &lt; 24h
     &gt; 24h
</t>
  </si>
  <si>
    <t>Cliente informado</t>
  </si>
  <si>
    <t>1.Triagens por Localização</t>
  </si>
  <si>
    <t>Localização</t>
  </si>
  <si>
    <t>Verificado</t>
  </si>
  <si>
    <t>Comentários / Conclusões</t>
  </si>
  <si>
    <t>Defeito tipo reocurrido no cliente Faurecia. Contenção/ acções correctivas não foram eficázes</t>
  </si>
  <si>
    <t>Fornecedor</t>
  </si>
  <si>
    <t>D8- Lições Aprendidas</t>
  </si>
  <si>
    <t>Acção</t>
  </si>
  <si>
    <t>Data / Tempo -
Implementação Contenção</t>
  </si>
  <si>
    <t>Ponto Limpo</t>
  </si>
  <si>
    <t>Ocu 1</t>
  </si>
  <si>
    <t>FMEA, plano de controlo, plano de manutenção, documentos do posto de trabalho, frequência auditorias, amostras limite, conhecimento gestão database / produto ou processo standard, folha Lição Aprendida</t>
  </si>
  <si>
    <t>2.Acções de Contenção</t>
  </si>
  <si>
    <t>Ocu 2</t>
  </si>
  <si>
    <t>Ocu 3</t>
  </si>
  <si>
    <t>Ocu 4</t>
  </si>
  <si>
    <t>Ocu 5</t>
  </si>
  <si>
    <t>Por favor completar na folha de cáculo "Ishikawa &amp; 5 Porquês?" ou  " É / Não é &amp; 5 Porquês?"</t>
  </si>
  <si>
    <t>Creado por (nome/posição):</t>
  </si>
  <si>
    <t>Contacto Fornecedor:</t>
  </si>
  <si>
    <t>Data Abertura:</t>
  </si>
  <si>
    <t>Última actualização:</t>
  </si>
  <si>
    <t>8D- Avaliação (%)</t>
  </si>
  <si>
    <t>D1 - 문제 정의: 5W + 2H 발견 / 발생
(Problem description: 5W + 2H Detection / Occurrence)</t>
  </si>
  <si>
    <t>D4 - 비검출 근본원인
(Root Causes of Non-Detection)</t>
  </si>
  <si>
    <t>D6 - 개선대책
(Permanent Countermeasures)</t>
  </si>
  <si>
    <t>근본원인</t>
  </si>
  <si>
    <t>조치사항</t>
  </si>
  <si>
    <t>담당</t>
  </si>
  <si>
    <t>기한</t>
  </si>
  <si>
    <t>상태</t>
  </si>
  <si>
    <t>고객사</t>
  </si>
  <si>
    <t>QP 번호 및 불량 분류</t>
  </si>
  <si>
    <t>품번</t>
  </si>
  <si>
    <t>품명</t>
  </si>
  <si>
    <t>시작일</t>
  </si>
  <si>
    <t>무엇이 문제인가?
문제점 예시(OK/NOK)</t>
  </si>
  <si>
    <t>왜 문제가 되는가?</t>
  </si>
  <si>
    <t>어디서 발견 되었는가?</t>
  </si>
  <si>
    <t>언제 발견 되었는가?</t>
  </si>
  <si>
    <t>누가 발견하였는가?</t>
  </si>
  <si>
    <t>어떻게 발견 되었는가?</t>
  </si>
  <si>
    <t>불량품 수량은 몇 개 인가?</t>
  </si>
  <si>
    <t>재발생</t>
  </si>
  <si>
    <t>S/R 관련</t>
  </si>
  <si>
    <t>물류</t>
  </si>
  <si>
    <t>부품 생산일</t>
  </si>
  <si>
    <t>공급업체명</t>
  </si>
  <si>
    <t>D2 - 유사 제품 및 공정에 대한 위험성
(Risk on similar products and processes)</t>
  </si>
  <si>
    <t>D5 - 발생 근본원인
(Root causes of Occurrence)</t>
  </si>
  <si>
    <t>D7 - 유효성/Tracking
(Effectiveness/Tracking)</t>
  </si>
  <si>
    <t>보증 클레임 위험성 (Risk of Warranty-claims)</t>
  </si>
  <si>
    <t>D-3 봉쇄조치
(Containment)</t>
  </si>
  <si>
    <t>고객사 통보</t>
  </si>
  <si>
    <t>1. 장소별 선별</t>
  </si>
  <si>
    <t>장소</t>
  </si>
  <si>
    <t>확인 수량</t>
  </si>
  <si>
    <t>특이사항 / 결론</t>
  </si>
  <si>
    <t>포레시아</t>
  </si>
  <si>
    <t>불량 유형 고객사 재발생. 봉쇄/조치방안 유효성 부족</t>
  </si>
  <si>
    <t>공급업체</t>
  </si>
  <si>
    <t>D8 - 향후 개선 방안
(Lessons Learned)</t>
  </si>
  <si>
    <t>일시 / 시간
- 방지책 시행</t>
  </si>
  <si>
    <t>조치 완료</t>
  </si>
  <si>
    <t>2. 봉쇄 방안</t>
  </si>
  <si>
    <t>작성자 (이름 / 직책):</t>
  </si>
  <si>
    <t>공급업체 연락처:</t>
  </si>
  <si>
    <t>시작일:</t>
  </si>
  <si>
    <t>최종 개정일:</t>
  </si>
  <si>
    <t>8D-평가점수 [%]</t>
  </si>
  <si>
    <t>D4-未发现缺陷的根本原因</t>
  </si>
  <si>
    <t>D6-永久措施</t>
  </si>
  <si>
    <t>根本原因</t>
  </si>
  <si>
    <t>纠正措施</t>
  </si>
  <si>
    <t>负责人</t>
  </si>
  <si>
    <t>完成期限</t>
  </si>
  <si>
    <t>状态</t>
  </si>
  <si>
    <t>客户工厂</t>
  </si>
  <si>
    <t>QP警报数量/PF类别</t>
  </si>
  <si>
    <t>零件号</t>
  </si>
  <si>
    <t>零件名称</t>
  </si>
  <si>
    <t>开始日期</t>
  </si>
  <si>
    <t>问题是什么？问题描述（不合格/合格 零件）</t>
  </si>
  <si>
    <t>为什么这是一个问题</t>
  </si>
  <si>
    <t>这个问题在哪里被发现</t>
  </si>
  <si>
    <t>这个问题什么时候被发现</t>
  </si>
  <si>
    <t>谁发现了这个问题</t>
  </si>
  <si>
    <t>这个问题是如何被发现的</t>
  </si>
  <si>
    <t>有多少个缺陷件</t>
  </si>
  <si>
    <t>再次发生</t>
  </si>
  <si>
    <t>S/R 相关</t>
  </si>
  <si>
    <t>连续</t>
  </si>
  <si>
    <t>质保</t>
  </si>
  <si>
    <t>项目</t>
  </si>
  <si>
    <t>物流</t>
  </si>
  <si>
    <t>零件制造日期</t>
  </si>
  <si>
    <t>供应商名称</t>
  </si>
  <si>
    <t>D2-相似产品和过程的风险</t>
  </si>
  <si>
    <t>D5-发生问题的根本原因</t>
  </si>
  <si>
    <t>D7-有效性验证/追踪</t>
  </si>
  <si>
    <t>质保风险说明</t>
  </si>
  <si>
    <t>临时措施</t>
  </si>
  <si>
    <t>采取有效行动</t>
  </si>
  <si>
    <t xml:space="preserve">     &lt; 2h (初步的）
     &lt; 24h
     &gt; 24h
</t>
  </si>
  <si>
    <t>已通知客户</t>
  </si>
  <si>
    <t>1.按地点筛选</t>
  </si>
  <si>
    <t>地点</t>
  </si>
  <si>
    <t>检查量</t>
  </si>
  <si>
    <t>说明/总结</t>
  </si>
  <si>
    <t>客户</t>
  </si>
  <si>
    <t>佛吉亚</t>
  </si>
  <si>
    <t>相同缺陷在佛吉亚客户工厂再次发现，临时和永久措施失效</t>
  </si>
  <si>
    <t>供应商</t>
  </si>
  <si>
    <t>D8-经验学习</t>
  </si>
  <si>
    <t>行动</t>
  </si>
  <si>
    <t>日期/时间-采取的临时措施</t>
  </si>
  <si>
    <t>清理点</t>
  </si>
  <si>
    <t>最后期限</t>
  </si>
  <si>
    <t>2.临时措施</t>
  </si>
  <si>
    <t>`</t>
  </si>
  <si>
    <t xml:space="preserve">请填写表单 „ISHIKAWA“ &amp; „5Why“ or „Is-Is Not“ &amp; „5 Why“
</t>
  </si>
  <si>
    <t>创建者（姓名/职位）</t>
  </si>
  <si>
    <t>供应商联系人</t>
  </si>
  <si>
    <t>最近更新</t>
  </si>
  <si>
    <t>8D评价</t>
  </si>
  <si>
    <t xml:space="preserve">                        FMEA</t>
  </si>
  <si>
    <t xml:space="preserve">                        Produktlenkungsplan</t>
  </si>
  <si>
    <t xml:space="preserve">                        Instandhaltungsplan</t>
  </si>
  <si>
    <t xml:space="preserve">                        LESSON LEARNED</t>
  </si>
  <si>
    <t xml:space="preserve">Claim not accepted (Why?)           </t>
  </si>
  <si>
    <t>Reklamation nicht akzeptiert ( Warum?)</t>
  </si>
  <si>
    <t xml:space="preserve">Réclamation non acceptée (Pourquoi?)
</t>
  </si>
  <si>
    <t>Reclamación no aceptada (Por qué?)</t>
  </si>
  <si>
    <t>Претензия отклонена (Почему?)</t>
  </si>
  <si>
    <t>不接受抱怨（为什么）</t>
  </si>
  <si>
    <t>Reclamation not accepted (Why?)</t>
  </si>
  <si>
    <t>Português</t>
  </si>
  <si>
    <t xml:space="preserve">avaliação:
mau:  0  pontos
esperado:    1 ponto
bom: mais do que expectativa :  2 pontos
- Definição Problema para vista Faurecia
- Clara definição da diferença entre boa e má peça
- Usar Boa e Má peça para explicar o problema                                                                                                                     </t>
  </si>
  <si>
    <t>A data de ínicio está ligado com ficheiro "Estatístico D3-D7" por favor preencher dia.mês.ano!</t>
  </si>
  <si>
    <t>avaliação:
mau:  0 pontos
esperado:    1 ponto    risco em outros productos identificado
bom: 2 pontos  risco em outros productos e risco de reclamações de garantia identificado
- Riscos são potenciais em outros productos ou processos identificados e reportados?
- Outras fábricas/ clientes advertidos?</t>
  </si>
  <si>
    <t xml:space="preserve">Riscos noutros productos ou processos?
Impacto potencial noutros veículos?
Mesma severidade do defeito?
Outras fábricas advertidas?
Como pode o defeito ser detectado?
Volume potencial impactado?
</t>
  </si>
  <si>
    <t xml:space="preserve">Quantas peças potencialmente afectadas foram entregues antes do problema ser detectado?
A dimensão do defeito pode ser reduzido a uma entrega específica/ carga?
</t>
  </si>
  <si>
    <t>avaliação:
mau:  0 pontos
esperado:    1 ponto
mais do que expectativa: 2 pontos ( completa descrição da acção contenção;  clara definição do ponto limpo)
- Acção de contenção foi descrita em detalhe e foi criado uma instrucção de trabalho?  
-  Os dados reais estão disponíveis?  Durante a triagem procuraram a quantidade máxima de dados colectados para ajudar a definir o problema? 
- Acçõe tem sido tomadas para proteger o cliente em productos similares?</t>
  </si>
  <si>
    <t>Como são as peças verificadas?
Como são as peças OK marcadas?</t>
  </si>
  <si>
    <t>avaliação:
mau:  0 pontos
esperado:    1 ponto
bom: mais do que a expectativa: 2 pontos
PORQUE NÃO É ENCONTRADO ?
-  Factores relacionados porque não detectado :
-  Os factores validados são lógicos?
-  Qual é a evidência para suportar o factor validado?
-  Ferramentas: 5Porquês; Gage R+R</t>
  </si>
  <si>
    <t>NOK seam</t>
  </si>
  <si>
    <t>wavy seam</t>
  </si>
  <si>
    <t>EOL evaluation as boundary part</t>
  </si>
  <si>
    <t>subjective evaluation - visual check</t>
  </si>
  <si>
    <t>human failure</t>
  </si>
  <si>
    <t xml:space="preserve">NOK seam </t>
  </si>
  <si>
    <t xml:space="preserve">waviness </t>
  </si>
  <si>
    <t>not enough power used for pulling material over the edge</t>
  </si>
  <si>
    <t>manual process</t>
  </si>
  <si>
    <t>Wavy seam</t>
  </si>
  <si>
    <t>press machine/overpressing</t>
  </si>
  <si>
    <t>high pressure</t>
  </si>
  <si>
    <t>spontaneous swinging of pressure and temperature</t>
  </si>
  <si>
    <t>unstable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</si>
</sst>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quot;F&quot;_-;\-* #,##0.00\ &quot;F&quot;_-;_-* &quot;-&quot;??\ &quot;F&quot;_-;_-@_-"/>
    <numFmt numFmtId="165" formatCode="[$-409]dd\-mmm\-yy;@"/>
    <numFmt numFmtId="166" formatCode="[$-409]d\-mmm\-yy;@"/>
    <numFmt numFmtId="167" formatCode="d/m/yy;@"/>
  </numFmts>
  <fonts count="109">
    <font>
      <sz val="10"/>
      <name val="Arial"/>
    </font>
    <font>
      <sz val="11"/>
      <color indexed="8"/>
      <name val="Calibri"/>
      <family val="2"/>
    </font>
    <font>
      <sz val="10"/>
      <name val="Arial"/>
      <family val="2"/>
    </font>
    <font>
      <sz val="10"/>
      <name val="Arial"/>
      <family val="2"/>
    </font>
    <font>
      <b/>
      <sz val="18"/>
      <name val="Arial"/>
      <family val="2"/>
    </font>
    <font>
      <sz val="14"/>
      <name val="Arial"/>
      <family val="2"/>
    </font>
    <font>
      <b/>
      <sz val="12"/>
      <name val="Arial"/>
      <family val="2"/>
    </font>
    <font>
      <b/>
      <sz val="14"/>
      <name val="Arial"/>
      <family val="2"/>
    </font>
    <font>
      <sz val="8"/>
      <name val="Arial"/>
      <family val="2"/>
    </font>
    <font>
      <b/>
      <sz val="10"/>
      <name val="Arial"/>
      <family val="2"/>
    </font>
    <font>
      <sz val="9"/>
      <name val="Arial"/>
      <family val="2"/>
    </font>
    <font>
      <b/>
      <u/>
      <sz val="10"/>
      <name val="Arial"/>
      <family val="2"/>
    </font>
    <font>
      <b/>
      <sz val="16"/>
      <name val="Arial"/>
      <family val="2"/>
    </font>
    <font>
      <sz val="12"/>
      <name val="Arial"/>
      <family val="2"/>
    </font>
    <font>
      <sz val="8"/>
      <name val="Arial"/>
      <family val="2"/>
    </font>
    <font>
      <b/>
      <sz val="8"/>
      <color indexed="81"/>
      <name val="Tahoma"/>
      <family val="2"/>
    </font>
    <font>
      <b/>
      <u/>
      <sz val="10"/>
      <color indexed="10"/>
      <name val="Arial"/>
      <family val="2"/>
    </font>
    <font>
      <b/>
      <sz val="10"/>
      <color indexed="10"/>
      <name val="Arial"/>
      <family val="2"/>
    </font>
    <font>
      <sz val="11"/>
      <name val="ＭＳ ゴシック"/>
      <family val="3"/>
      <charset val="128"/>
    </font>
    <font>
      <sz val="10"/>
      <color indexed="8"/>
      <name val="Arial"/>
      <family val="2"/>
    </font>
    <font>
      <b/>
      <u/>
      <sz val="10"/>
      <color indexed="8"/>
      <name val="Arial"/>
      <family val="2"/>
    </font>
    <font>
      <sz val="10"/>
      <color indexed="81"/>
      <name val="Tahoma"/>
      <family val="2"/>
    </font>
    <font>
      <sz val="16"/>
      <name val="Arial"/>
      <family val="2"/>
    </font>
    <font>
      <b/>
      <sz val="16"/>
      <name val="Arial"/>
      <family val="2"/>
    </font>
    <font>
      <sz val="20"/>
      <name val="Arial Black"/>
      <family val="2"/>
    </font>
    <font>
      <sz val="14"/>
      <name val="Arial"/>
      <family val="2"/>
    </font>
    <font>
      <b/>
      <sz val="15"/>
      <name val="Arial"/>
      <family val="2"/>
    </font>
    <font>
      <b/>
      <sz val="20"/>
      <name val="Arial"/>
      <family val="2"/>
    </font>
    <font>
      <sz val="12"/>
      <name val="Arial"/>
      <family val="2"/>
    </font>
    <font>
      <sz val="9"/>
      <color indexed="9"/>
      <name val="Arial"/>
      <family val="2"/>
    </font>
    <font>
      <b/>
      <sz val="11"/>
      <name val="Arial"/>
      <family val="2"/>
    </font>
    <font>
      <b/>
      <sz val="10"/>
      <name val="Optima"/>
    </font>
    <font>
      <b/>
      <sz val="10"/>
      <name val="Arial"/>
      <family val="2"/>
    </font>
    <font>
      <sz val="8"/>
      <color indexed="81"/>
      <name val="Tahoma"/>
      <family val="2"/>
    </font>
    <font>
      <sz val="12"/>
      <color indexed="81"/>
      <name val="Tahoma"/>
      <family val="2"/>
    </font>
    <font>
      <b/>
      <sz val="12"/>
      <color indexed="81"/>
      <name val="Tahoma"/>
      <family val="2"/>
    </font>
    <font>
      <b/>
      <u/>
      <sz val="12"/>
      <color indexed="81"/>
      <name val="Tahoma"/>
      <family val="2"/>
    </font>
    <font>
      <b/>
      <sz val="12"/>
      <color indexed="10"/>
      <name val="Tahoma"/>
      <family val="2"/>
    </font>
    <font>
      <b/>
      <sz val="14"/>
      <name val="Arial"/>
      <family val="2"/>
    </font>
    <font>
      <b/>
      <sz val="10"/>
      <color indexed="22"/>
      <name val="Arial"/>
      <family val="2"/>
    </font>
    <font>
      <sz val="10"/>
      <color indexed="22"/>
      <name val="Arial"/>
      <family val="2"/>
    </font>
    <font>
      <sz val="14"/>
      <name val="Arial Narrow"/>
      <family val="2"/>
    </font>
    <font>
      <sz val="9"/>
      <color indexed="55"/>
      <name val="Arial"/>
      <family val="2"/>
    </font>
    <font>
      <b/>
      <sz val="20"/>
      <name val="Arial Black"/>
      <family val="2"/>
    </font>
    <font>
      <sz val="10"/>
      <color indexed="52"/>
      <name val="Arial"/>
      <family val="2"/>
    </font>
    <font>
      <b/>
      <sz val="10"/>
      <color indexed="52"/>
      <name val="Arial"/>
      <family val="2"/>
    </font>
    <font>
      <sz val="14"/>
      <color indexed="10"/>
      <name val="Tahoma"/>
      <family val="2"/>
    </font>
    <font>
      <sz val="11"/>
      <color indexed="8"/>
      <name val="Calibri"/>
      <family val="2"/>
    </font>
    <font>
      <sz val="11"/>
      <color indexed="9"/>
      <name val="Calibri"/>
      <family val="2"/>
    </font>
    <font>
      <sz val="11"/>
      <color indexed="60"/>
      <name val="Calibri"/>
      <family val="2"/>
    </font>
    <font>
      <b/>
      <sz val="9"/>
      <name val="Arial"/>
      <family val="2"/>
    </font>
    <font>
      <sz val="9"/>
      <name val="Arial"/>
      <family val="2"/>
    </font>
    <font>
      <i/>
      <sz val="9"/>
      <name val="Arial"/>
      <family val="2"/>
    </font>
    <font>
      <b/>
      <sz val="9"/>
      <name val="Arial"/>
      <family val="2"/>
    </font>
    <font>
      <sz val="9"/>
      <color indexed="12"/>
      <name val="Arial"/>
      <family val="2"/>
    </font>
    <font>
      <sz val="9"/>
      <color indexed="10"/>
      <name val="Arial"/>
      <family val="2"/>
    </font>
    <font>
      <b/>
      <sz val="9"/>
      <color indexed="10"/>
      <name val="Arial"/>
      <family val="2"/>
    </font>
    <font>
      <b/>
      <sz val="9"/>
      <color indexed="8"/>
      <name val="Arial"/>
      <family val="2"/>
    </font>
    <font>
      <sz val="9"/>
      <color indexed="17"/>
      <name val="Arial"/>
      <family val="2"/>
    </font>
    <font>
      <b/>
      <i/>
      <u/>
      <sz val="14"/>
      <color indexed="10"/>
      <name val="Tahoma"/>
      <family val="2"/>
    </font>
    <font>
      <b/>
      <sz val="36"/>
      <color indexed="42"/>
      <name val="Arial"/>
      <family val="2"/>
    </font>
    <font>
      <sz val="11"/>
      <name val="Arial"/>
      <family val="2"/>
    </font>
    <font>
      <sz val="12"/>
      <color indexed="10"/>
      <name val="Tahoma"/>
      <family val="2"/>
    </font>
    <font>
      <sz val="12"/>
      <color indexed="61"/>
      <name val="Tahoma"/>
      <family val="2"/>
    </font>
    <font>
      <b/>
      <sz val="12"/>
      <color indexed="61"/>
      <name val="Tahoma"/>
      <family val="2"/>
    </font>
    <font>
      <b/>
      <sz val="12"/>
      <color indexed="8"/>
      <name val="Tahoma"/>
      <family val="2"/>
    </font>
    <font>
      <b/>
      <sz val="16"/>
      <color indexed="61"/>
      <name val="Tahoma"/>
      <family val="2"/>
    </font>
    <font>
      <b/>
      <sz val="16"/>
      <color indexed="12"/>
      <name val="Tahoma"/>
      <family val="2"/>
    </font>
    <font>
      <b/>
      <sz val="14"/>
      <color indexed="10"/>
      <name val="Tahoma"/>
      <family val="2"/>
    </font>
    <font>
      <sz val="14"/>
      <color indexed="81"/>
      <name val="Tahoma"/>
      <family val="2"/>
    </font>
    <font>
      <b/>
      <sz val="14"/>
      <color indexed="51"/>
      <name val="Tahoma"/>
      <family val="2"/>
    </font>
    <font>
      <sz val="14"/>
      <color indexed="51"/>
      <name val="Tahoma"/>
      <family val="2"/>
    </font>
    <font>
      <b/>
      <sz val="14"/>
      <color indexed="57"/>
      <name val="Tahoma"/>
      <family val="2"/>
    </font>
    <font>
      <sz val="14"/>
      <color indexed="57"/>
      <name val="Tahoma"/>
      <family val="2"/>
    </font>
    <font>
      <sz val="12"/>
      <name val="Brush Script MT"/>
      <family val="4"/>
    </font>
    <font>
      <sz val="9"/>
      <color indexed="10"/>
      <name val="Arial"/>
      <family val="2"/>
    </font>
    <font>
      <b/>
      <sz val="16"/>
      <color indexed="10"/>
      <name val="Arial"/>
      <family val="2"/>
    </font>
    <font>
      <b/>
      <sz val="14"/>
      <color indexed="48"/>
      <name val="Arial"/>
      <family val="2"/>
    </font>
    <font>
      <sz val="12"/>
      <color indexed="48"/>
      <name val="Tahoma"/>
      <family val="2"/>
    </font>
    <font>
      <sz val="10"/>
      <color indexed="48"/>
      <name val="Arial"/>
      <family val="2"/>
    </font>
    <font>
      <sz val="10"/>
      <color indexed="10"/>
      <name val="Arial"/>
      <family val="2"/>
    </font>
    <font>
      <b/>
      <sz val="12"/>
      <color indexed="48"/>
      <name val="Tahoma"/>
      <family val="2"/>
    </font>
    <font>
      <b/>
      <u/>
      <sz val="12"/>
      <color indexed="48"/>
      <name val="Tahoma"/>
      <family val="2"/>
    </font>
    <font>
      <sz val="8"/>
      <name val="Monotype Sorts"/>
    </font>
    <font>
      <u/>
      <sz val="10"/>
      <name val="Arial"/>
      <family val="2"/>
    </font>
    <font>
      <sz val="10"/>
      <name val="Optima"/>
    </font>
    <font>
      <b/>
      <sz val="14"/>
      <color indexed="9"/>
      <name val="Arial"/>
      <family val="2"/>
    </font>
    <font>
      <b/>
      <sz val="20"/>
      <color indexed="48"/>
      <name val="Arial"/>
      <family val="2"/>
    </font>
    <font>
      <sz val="14"/>
      <color indexed="48"/>
      <name val="Arial"/>
      <family val="2"/>
    </font>
    <font>
      <sz val="18"/>
      <name val="Arial"/>
      <family val="2"/>
    </font>
    <font>
      <b/>
      <sz val="22"/>
      <color indexed="62"/>
      <name val="Arial"/>
      <family val="2"/>
    </font>
    <font>
      <b/>
      <sz val="16"/>
      <color indexed="62"/>
      <name val="Arial"/>
      <family val="2"/>
    </font>
    <font>
      <b/>
      <sz val="10"/>
      <name val="Wingdings"/>
      <charset val="2"/>
    </font>
    <font>
      <sz val="12"/>
      <color indexed="20"/>
      <name val="Tahoma"/>
      <family val="2"/>
    </font>
    <font>
      <b/>
      <sz val="14"/>
      <color indexed="62"/>
      <name val="Arial"/>
      <family val="2"/>
    </font>
    <font>
      <b/>
      <i/>
      <sz val="14"/>
      <color indexed="10"/>
      <name val="Tahoma"/>
      <family val="2"/>
    </font>
    <font>
      <b/>
      <sz val="12"/>
      <color indexed="20"/>
      <name val="Tahoma"/>
      <family val="2"/>
    </font>
    <font>
      <b/>
      <sz val="16"/>
      <color indexed="81"/>
      <name val="Tahoma"/>
      <family val="2"/>
    </font>
    <font>
      <sz val="16"/>
      <color indexed="81"/>
      <name val="Tahoma"/>
      <family val="2"/>
    </font>
    <font>
      <i/>
      <sz val="16"/>
      <color indexed="81"/>
      <name val="Tahoma"/>
      <family val="2"/>
    </font>
    <font>
      <sz val="10"/>
      <name val="Arial"/>
      <family val="2"/>
    </font>
    <font>
      <b/>
      <sz val="14"/>
      <color indexed="10"/>
      <name val="Arial"/>
      <family val="2"/>
    </font>
    <font>
      <sz val="14"/>
      <color indexed="10"/>
      <name val="Arial"/>
      <family val="2"/>
    </font>
    <font>
      <sz val="10"/>
      <name val="돋움"/>
      <family val="3"/>
      <charset val="129"/>
    </font>
    <font>
      <b/>
      <sz val="14"/>
      <color indexed="48"/>
      <name val="宋体"/>
      <charset val="134"/>
    </font>
    <font>
      <sz val="10"/>
      <name val="宋体"/>
      <charset val="134"/>
    </font>
    <font>
      <sz val="20"/>
      <name val="Arial"/>
      <family val="2"/>
    </font>
    <font>
      <sz val="11"/>
      <color indexed="17"/>
      <name val="Calibri"/>
      <family val="2"/>
    </font>
    <font>
      <b/>
      <sz val="12"/>
      <name val="Arial"/>
      <family val="2"/>
      <charset val="238"/>
    </font>
  </fonts>
  <fills count="3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41"/>
        <bgColor indexed="64"/>
      </patternFill>
    </fill>
    <fill>
      <patternFill patternType="solid">
        <fgColor indexed="43"/>
        <bgColor indexed="64"/>
      </patternFill>
    </fill>
    <fill>
      <patternFill patternType="solid">
        <fgColor indexed="9"/>
        <bgColor indexed="64"/>
      </patternFill>
    </fill>
    <fill>
      <patternFill patternType="solid">
        <fgColor indexed="46"/>
        <bgColor indexed="64"/>
      </patternFill>
    </fill>
    <fill>
      <patternFill patternType="solid">
        <fgColor indexed="11"/>
        <bgColor indexed="64"/>
      </patternFill>
    </fill>
    <fill>
      <patternFill patternType="solid">
        <fgColor indexed="44"/>
        <bgColor indexed="64"/>
      </patternFill>
    </fill>
    <fill>
      <patternFill patternType="solid">
        <fgColor indexed="15"/>
        <bgColor indexed="64"/>
      </patternFill>
    </fill>
    <fill>
      <patternFill patternType="solid">
        <fgColor indexed="13"/>
        <bgColor indexed="64"/>
      </patternFill>
    </fill>
    <fill>
      <patternFill patternType="solid">
        <fgColor indexed="52"/>
        <bgColor indexed="64"/>
      </patternFill>
    </fill>
    <fill>
      <patternFill patternType="solid">
        <fgColor indexed="42"/>
        <bgColor indexed="64"/>
      </patternFill>
    </fill>
    <fill>
      <patternFill patternType="solid">
        <fgColor indexed="26"/>
        <bgColor indexed="64"/>
      </patternFill>
    </fill>
    <fill>
      <patternFill patternType="solid">
        <fgColor indexed="51"/>
        <bgColor indexed="64"/>
      </patternFill>
    </fill>
    <fill>
      <patternFill patternType="solid">
        <fgColor indexed="10"/>
        <bgColor indexed="64"/>
      </patternFill>
    </fill>
    <fill>
      <patternFill patternType="solid">
        <fgColor indexed="47"/>
        <bgColor indexed="64"/>
      </patternFill>
    </fill>
    <fill>
      <patternFill patternType="solid">
        <fgColor indexed="40"/>
        <bgColor indexed="64"/>
      </patternFill>
    </fill>
    <fill>
      <patternFill patternType="solid">
        <fgColor indexed="22"/>
        <bgColor indexed="64"/>
      </patternFill>
    </fill>
  </fills>
  <borders count="9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ck">
        <color indexed="64"/>
      </right>
      <top style="medium">
        <color indexed="64"/>
      </top>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medium">
        <color indexed="8"/>
      </left>
      <right style="medium">
        <color indexed="8"/>
      </right>
      <top style="medium">
        <color indexed="8"/>
      </top>
      <bottom style="medium">
        <color indexed="8"/>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diagonal/>
    </border>
    <border>
      <left/>
      <right style="medium">
        <color indexed="64"/>
      </right>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medium">
        <color indexed="64"/>
      </left>
      <right style="medium">
        <color indexed="64"/>
      </right>
      <top style="thick">
        <color indexed="64"/>
      </top>
      <bottom/>
      <diagonal/>
    </border>
    <border>
      <left style="medium">
        <color indexed="64"/>
      </left>
      <right style="medium">
        <color indexed="64"/>
      </right>
      <top/>
      <bottom style="thick">
        <color indexed="64"/>
      </bottom>
      <diagonal/>
    </border>
    <border>
      <left style="medium">
        <color indexed="64"/>
      </left>
      <right style="thick">
        <color indexed="64"/>
      </right>
      <top/>
      <bottom style="medium">
        <color indexed="64"/>
      </bottom>
      <diagonal/>
    </border>
    <border>
      <left style="thick">
        <color indexed="64"/>
      </left>
      <right/>
      <top style="medium">
        <color indexed="64"/>
      </top>
      <bottom/>
      <diagonal/>
    </border>
    <border>
      <left style="thick">
        <color indexed="64"/>
      </left>
      <right/>
      <top/>
      <bottom style="medium">
        <color indexed="64"/>
      </bottom>
      <diagonal/>
    </border>
  </borders>
  <cellStyleXfs count="35">
    <xf numFmtId="0" fontId="0" fillId="0" borderId="0"/>
    <xf numFmtId="0" fontId="47" fillId="2" borderId="0" applyNumberFormat="0" applyBorder="0" applyAlignment="0" applyProtection="0"/>
    <xf numFmtId="0" fontId="47" fillId="3" borderId="0" applyNumberFormat="0" applyBorder="0" applyAlignment="0" applyProtection="0"/>
    <xf numFmtId="0" fontId="47" fillId="4" borderId="0" applyNumberFormat="0" applyBorder="0" applyAlignment="0" applyProtection="0"/>
    <xf numFmtId="0" fontId="47" fillId="5" borderId="0" applyNumberFormat="0" applyBorder="0" applyAlignment="0" applyProtection="0"/>
    <xf numFmtId="0" fontId="47" fillId="6" borderId="0" applyNumberFormat="0" applyBorder="0" applyAlignment="0" applyProtection="0"/>
    <xf numFmtId="0" fontId="47" fillId="7" borderId="0" applyNumberFormat="0" applyBorder="0" applyAlignment="0" applyProtection="0"/>
    <xf numFmtId="0" fontId="47" fillId="8" borderId="0" applyNumberFormat="0" applyBorder="0" applyAlignment="0" applyProtection="0"/>
    <xf numFmtId="0" fontId="47" fillId="9" borderId="0" applyNumberFormat="0" applyBorder="0" applyAlignment="0" applyProtection="0"/>
    <xf numFmtId="0" fontId="47" fillId="10" borderId="0" applyNumberFormat="0" applyBorder="0" applyAlignment="0" applyProtection="0"/>
    <xf numFmtId="0" fontId="47" fillId="5" borderId="0" applyNumberFormat="0" applyBorder="0" applyAlignment="0" applyProtection="0"/>
    <xf numFmtId="0" fontId="47" fillId="8" borderId="0" applyNumberFormat="0" applyBorder="0" applyAlignment="0" applyProtection="0"/>
    <xf numFmtId="0" fontId="47" fillId="11" borderId="0" applyNumberFormat="0" applyBorder="0" applyAlignment="0" applyProtection="0"/>
    <xf numFmtId="0" fontId="48" fillId="12" borderId="0" applyNumberFormat="0" applyBorder="0" applyAlignment="0" applyProtection="0"/>
    <xf numFmtId="0" fontId="48" fillId="9" borderId="0" applyNumberFormat="0" applyBorder="0" applyAlignment="0" applyProtection="0"/>
    <xf numFmtId="0" fontId="48" fillId="10" borderId="0" applyNumberFormat="0" applyBorder="0" applyAlignment="0" applyProtection="0"/>
    <xf numFmtId="0" fontId="48" fillId="13" borderId="0" applyNumberFormat="0" applyBorder="0" applyAlignment="0" applyProtection="0"/>
    <xf numFmtId="0" fontId="48" fillId="14" borderId="0" applyNumberFormat="0" applyBorder="0" applyAlignment="0" applyProtection="0"/>
    <xf numFmtId="0" fontId="48" fillId="15" borderId="0" applyNumberFormat="0" applyBorder="0" applyAlignment="0" applyProtection="0"/>
    <xf numFmtId="164" fontId="100" fillId="0" borderId="0" applyFont="0" applyFill="0" applyBorder="0" applyAlignment="0" applyProtection="0"/>
    <xf numFmtId="164" fontId="2" fillId="0" borderId="0" applyFont="0" applyFill="0" applyBorder="0" applyAlignment="0" applyProtection="0"/>
    <xf numFmtId="164" fontId="3" fillId="0" borderId="0" applyFont="0" applyFill="0" applyBorder="0" applyAlignment="0" applyProtection="0"/>
    <xf numFmtId="164" fontId="2" fillId="0" borderId="0" applyFont="0" applyFill="0" applyBorder="0" applyAlignment="0" applyProtection="0"/>
    <xf numFmtId="0" fontId="49" fillId="16" borderId="0" applyNumberFormat="0" applyBorder="0" applyAlignment="0" applyProtection="0"/>
    <xf numFmtId="0" fontId="3" fillId="0" borderId="0"/>
    <xf numFmtId="0" fontId="2" fillId="0" borderId="0"/>
    <xf numFmtId="0" fontId="2" fillId="0" borderId="0"/>
    <xf numFmtId="0" fontId="2" fillId="0" borderId="0"/>
    <xf numFmtId="0" fontId="2" fillId="0" borderId="0"/>
    <xf numFmtId="0" fontId="8" fillId="0" borderId="0"/>
    <xf numFmtId="0" fontId="3" fillId="0" borderId="0"/>
    <xf numFmtId="0" fontId="2" fillId="0" borderId="0"/>
    <xf numFmtId="0" fontId="2" fillId="0" borderId="0"/>
    <xf numFmtId="0" fontId="3" fillId="0" borderId="0"/>
    <xf numFmtId="0" fontId="18" fillId="0" borderId="0"/>
  </cellStyleXfs>
  <cellXfs count="942">
    <xf numFmtId="0" fontId="0" fillId="0" borderId="0" xfId="0"/>
    <xf numFmtId="0" fontId="0" fillId="0" borderId="0" xfId="0" applyAlignment="1" applyProtection="1">
      <alignment wrapText="1"/>
      <protection locked="0"/>
    </xf>
    <xf numFmtId="0" fontId="0" fillId="0" borderId="0" xfId="0" applyAlignment="1" applyProtection="1">
      <alignment horizontal="left" vertical="center" wrapText="1"/>
      <protection locked="0"/>
    </xf>
    <xf numFmtId="0" fontId="0" fillId="0" borderId="0" xfId="0" applyAlignment="1" applyProtection="1">
      <alignment vertical="center" wrapText="1"/>
      <protection locked="0"/>
    </xf>
    <xf numFmtId="0" fontId="0" fillId="0" borderId="0" xfId="0" applyAlignment="1" applyProtection="1">
      <alignment horizontal="center" vertical="center"/>
    </xf>
    <xf numFmtId="0" fontId="3" fillId="0" borderId="0" xfId="0" applyFont="1" applyAlignment="1" applyProtection="1">
      <alignment horizontal="center" vertical="center"/>
    </xf>
    <xf numFmtId="0" fontId="3" fillId="17" borderId="0" xfId="0" applyFont="1" applyFill="1" applyAlignment="1" applyProtection="1">
      <alignment horizontal="center" vertical="center"/>
    </xf>
    <xf numFmtId="0" fontId="3" fillId="17" borderId="0" xfId="0" applyFont="1" applyFill="1" applyAlignment="1" applyProtection="1">
      <alignment horizontal="center" vertical="center"/>
      <protection locked="0"/>
    </xf>
    <xf numFmtId="0" fontId="0" fillId="17" borderId="0" xfId="0" applyFill="1" applyAlignment="1" applyProtection="1">
      <alignment wrapText="1"/>
      <protection locked="0"/>
    </xf>
    <xf numFmtId="0" fontId="11" fillId="17" borderId="0" xfId="0" applyFont="1" applyFill="1" applyBorder="1" applyAlignment="1" applyProtection="1">
      <alignment horizontal="left" vertical="top"/>
      <protection locked="0"/>
    </xf>
    <xf numFmtId="0" fontId="11" fillId="0" borderId="1" xfId="0" applyFont="1" applyFill="1" applyBorder="1" applyAlignment="1" applyProtection="1">
      <alignment horizontal="left" vertical="top"/>
      <protection locked="0"/>
    </xf>
    <xf numFmtId="0" fontId="0" fillId="17" borderId="0" xfId="0" applyFill="1" applyAlignment="1" applyProtection="1">
      <alignment vertical="center" wrapText="1"/>
      <protection locked="0"/>
    </xf>
    <xf numFmtId="0" fontId="0" fillId="17" borderId="0" xfId="0" applyFill="1" applyAlignment="1" applyProtection="1">
      <alignment horizontal="left" vertical="center" wrapText="1"/>
      <protection locked="0"/>
    </xf>
    <xf numFmtId="0" fontId="9" fillId="0" borderId="1" xfId="0" applyFont="1" applyFill="1" applyBorder="1" applyAlignment="1" applyProtection="1">
      <alignment horizontal="left" vertical="center"/>
      <protection locked="0"/>
    </xf>
    <xf numFmtId="0" fontId="3" fillId="0" borderId="2" xfId="0" applyFont="1" applyFill="1" applyBorder="1" applyAlignment="1" applyProtection="1">
      <alignment vertical="top"/>
      <protection locked="0"/>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0" xfId="0" applyFont="1" applyAlignment="1">
      <alignment vertical="top"/>
    </xf>
    <xf numFmtId="0" fontId="3" fillId="0" borderId="6" xfId="0" applyFont="1" applyBorder="1" applyAlignment="1">
      <alignment vertical="top"/>
    </xf>
    <xf numFmtId="0" fontId="3" fillId="0" borderId="7" xfId="0" applyFont="1" applyBorder="1" applyAlignment="1">
      <alignment vertical="top"/>
    </xf>
    <xf numFmtId="0" fontId="3" fillId="0" borderId="8" xfId="0" applyFont="1" applyBorder="1" applyAlignment="1">
      <alignment vertical="top"/>
    </xf>
    <xf numFmtId="0" fontId="3" fillId="0" borderId="9" xfId="0" applyFont="1" applyBorder="1" applyAlignment="1">
      <alignment vertical="top"/>
    </xf>
    <xf numFmtId="0" fontId="10" fillId="0" borderId="0" xfId="0" applyFont="1"/>
    <xf numFmtId="0" fontId="10" fillId="0" borderId="0" xfId="0" applyFont="1" applyBorder="1"/>
    <xf numFmtId="0" fontId="12" fillId="0" borderId="0" xfId="0"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0" fontId="0" fillId="0" borderId="0" xfId="0" applyBorder="1"/>
    <xf numFmtId="0" fontId="0" fillId="0" borderId="0" xfId="0" applyBorder="1" applyAlignment="1">
      <alignment wrapText="1"/>
    </xf>
    <xf numFmtId="0" fontId="0" fillId="18" borderId="10" xfId="0" applyFill="1" applyBorder="1"/>
    <xf numFmtId="0" fontId="0" fillId="18" borderId="11" xfId="0" applyFill="1" applyBorder="1"/>
    <xf numFmtId="0" fontId="0" fillId="18" borderId="12" xfId="0" applyFill="1" applyBorder="1"/>
    <xf numFmtId="0" fontId="0" fillId="18" borderId="13" xfId="0" applyFill="1" applyBorder="1"/>
    <xf numFmtId="0" fontId="0" fillId="18" borderId="14" xfId="0" applyFill="1" applyBorder="1"/>
    <xf numFmtId="0" fontId="0" fillId="0" borderId="0" xfId="0" applyAlignment="1">
      <alignment horizontal="center"/>
    </xf>
    <xf numFmtId="0" fontId="0" fillId="0" borderId="0" xfId="0" applyAlignment="1">
      <alignment horizontal="center" vertical="center" wrapText="1"/>
    </xf>
    <xf numFmtId="0" fontId="14" fillId="0" borderId="15" xfId="0" applyFont="1" applyFill="1" applyBorder="1" applyAlignment="1">
      <alignment horizontal="left" vertical="center" wrapText="1"/>
    </xf>
    <xf numFmtId="0" fontId="9" fillId="0" borderId="15" xfId="0" applyFont="1" applyFill="1" applyBorder="1" applyAlignment="1">
      <alignment horizontal="left" vertical="center" wrapText="1"/>
    </xf>
    <xf numFmtId="0" fontId="0" fillId="0" borderId="15" xfId="0" applyFill="1" applyBorder="1" applyAlignment="1">
      <alignment horizontal="left" vertical="center" wrapText="1"/>
    </xf>
    <xf numFmtId="0" fontId="0" fillId="0" borderId="15" xfId="0" applyFill="1" applyBorder="1" applyAlignment="1">
      <alignment horizontal="center" vertical="center" wrapText="1"/>
    </xf>
    <xf numFmtId="0" fontId="0" fillId="0" borderId="16" xfId="0" applyFill="1" applyBorder="1" applyAlignment="1">
      <alignment horizontal="center" vertical="center" wrapText="1"/>
    </xf>
    <xf numFmtId="0" fontId="0" fillId="0" borderId="15" xfId="0" applyFill="1" applyBorder="1" applyAlignment="1">
      <alignment horizontal="left" vertical="top" wrapText="1"/>
    </xf>
    <xf numFmtId="0" fontId="31" fillId="19" borderId="17" xfId="0" applyFont="1" applyFill="1" applyBorder="1" applyAlignment="1" applyProtection="1">
      <alignment textRotation="90"/>
    </xf>
    <xf numFmtId="0" fontId="32" fillId="19" borderId="18" xfId="0" applyFont="1" applyFill="1" applyBorder="1" applyAlignment="1" applyProtection="1">
      <alignment horizontal="center" wrapText="1"/>
    </xf>
    <xf numFmtId="0" fontId="12" fillId="0" borderId="0" xfId="0" applyFont="1" applyBorder="1" applyAlignment="1">
      <alignment horizontal="center" vertical="center" wrapText="1"/>
    </xf>
    <xf numFmtId="0" fontId="9" fillId="0" borderId="0" xfId="0" applyFont="1" applyBorder="1" applyAlignment="1">
      <alignment horizontal="center" vertical="center" wrapText="1"/>
    </xf>
    <xf numFmtId="0" fontId="0" fillId="0" borderId="0" xfId="0" applyBorder="1" applyAlignment="1">
      <alignment horizontal="center" vertical="center" wrapText="1"/>
    </xf>
    <xf numFmtId="0" fontId="14" fillId="0" borderId="0" xfId="0" applyFont="1" applyBorder="1" applyAlignment="1">
      <alignment horizontal="left" vertical="center" wrapText="1"/>
    </xf>
    <xf numFmtId="0" fontId="9" fillId="0" borderId="0" xfId="0" applyFont="1" applyBorder="1" applyAlignment="1">
      <alignment horizontal="left" vertical="center" wrapText="1"/>
    </xf>
    <xf numFmtId="0" fontId="0" fillId="0" borderId="0" xfId="0" applyBorder="1" applyAlignment="1">
      <alignment horizontal="left" vertical="center" wrapText="1"/>
    </xf>
    <xf numFmtId="0" fontId="0" fillId="0" borderId="0" xfId="0" applyBorder="1" applyAlignment="1">
      <alignment horizontal="left" vertical="top" wrapText="1"/>
    </xf>
    <xf numFmtId="0" fontId="9" fillId="0" borderId="0" xfId="0" applyFont="1" applyBorder="1" applyAlignment="1">
      <alignment horizontal="left" vertical="top" wrapText="1"/>
    </xf>
    <xf numFmtId="0" fontId="9" fillId="0" borderId="0" xfId="0" quotePrefix="1" applyFont="1" applyBorder="1" applyAlignment="1">
      <alignment horizontal="center" vertical="center" wrapText="1"/>
    </xf>
    <xf numFmtId="0" fontId="9" fillId="18" borderId="15" xfId="0" applyFont="1" applyFill="1" applyBorder="1" applyAlignment="1">
      <alignment horizontal="center" vertical="center" wrapText="1"/>
    </xf>
    <xf numFmtId="0" fontId="14" fillId="18" borderId="15" xfId="0" applyFont="1" applyFill="1" applyBorder="1" applyAlignment="1">
      <alignment horizontal="left" vertical="center" wrapText="1"/>
    </xf>
    <xf numFmtId="0" fontId="9" fillId="18" borderId="15" xfId="0" applyFont="1" applyFill="1" applyBorder="1" applyAlignment="1">
      <alignment horizontal="left" vertical="center" wrapText="1"/>
    </xf>
    <xf numFmtId="0" fontId="0" fillId="18" borderId="15" xfId="0" applyFill="1" applyBorder="1" applyAlignment="1">
      <alignment horizontal="left" vertical="center" wrapText="1"/>
    </xf>
    <xf numFmtId="0" fontId="0" fillId="18" borderId="15" xfId="0" applyFill="1" applyBorder="1" applyAlignment="1">
      <alignment horizontal="center" vertical="center" wrapText="1"/>
    </xf>
    <xf numFmtId="0" fontId="0" fillId="18" borderId="15" xfId="0" applyFill="1" applyBorder="1" applyAlignment="1">
      <alignment horizontal="left" vertical="top" wrapText="1"/>
    </xf>
    <xf numFmtId="0" fontId="9" fillId="18" borderId="15" xfId="0" applyFont="1" applyFill="1" applyBorder="1" applyAlignment="1">
      <alignment horizontal="left" vertical="top" wrapText="1"/>
    </xf>
    <xf numFmtId="0" fontId="9" fillId="18" borderId="15" xfId="0" quotePrefix="1" applyFont="1" applyFill="1" applyBorder="1" applyAlignment="1">
      <alignment horizontal="left" vertical="top" wrapText="1"/>
    </xf>
    <xf numFmtId="0" fontId="9" fillId="18" borderId="15" xfId="0" quotePrefix="1" applyFont="1" applyFill="1" applyBorder="1" applyAlignment="1">
      <alignment horizontal="center" vertical="center" wrapText="1"/>
    </xf>
    <xf numFmtId="0" fontId="9" fillId="0" borderId="15" xfId="0" applyFont="1" applyFill="1" applyBorder="1" applyAlignment="1">
      <alignment horizontal="left" vertical="top" wrapText="1"/>
    </xf>
    <xf numFmtId="0" fontId="2" fillId="0" borderId="15" xfId="0" applyFont="1" applyFill="1" applyBorder="1" applyAlignment="1">
      <alignment horizontal="left" vertical="top" wrapText="1"/>
    </xf>
    <xf numFmtId="0" fontId="3" fillId="0" borderId="16" xfId="0" applyFont="1" applyFill="1" applyBorder="1" applyAlignment="1">
      <alignment horizontal="left" vertical="center" wrapText="1"/>
    </xf>
    <xf numFmtId="0" fontId="9" fillId="0" borderId="15" xfId="0" quotePrefix="1" applyFont="1" applyFill="1" applyBorder="1" applyAlignment="1">
      <alignment horizontal="left" vertical="top" wrapText="1"/>
    </xf>
    <xf numFmtId="0" fontId="9" fillId="0" borderId="15" xfId="0" quotePrefix="1" applyFont="1" applyFill="1" applyBorder="1" applyAlignment="1">
      <alignment horizontal="center" vertical="center" wrapText="1"/>
    </xf>
    <xf numFmtId="0" fontId="3" fillId="0" borderId="16" xfId="0" applyFont="1" applyFill="1" applyBorder="1" applyAlignment="1">
      <alignment horizontal="center" vertical="center" wrapText="1"/>
    </xf>
    <xf numFmtId="0" fontId="39" fillId="0" borderId="15" xfId="0" applyFont="1" applyFill="1" applyBorder="1" applyAlignment="1">
      <alignment horizontal="left" vertical="top" wrapText="1"/>
    </xf>
    <xf numFmtId="0" fontId="40" fillId="0" borderId="15" xfId="0" applyFont="1" applyFill="1" applyBorder="1" applyAlignment="1">
      <alignment horizontal="left" vertical="top" wrapText="1"/>
    </xf>
    <xf numFmtId="0" fontId="39" fillId="0" borderId="15" xfId="0" quotePrefix="1" applyFont="1" applyFill="1" applyBorder="1" applyAlignment="1">
      <alignment horizontal="center" vertical="center" wrapText="1"/>
    </xf>
    <xf numFmtId="0" fontId="40" fillId="0" borderId="15" xfId="0" applyFont="1" applyFill="1" applyBorder="1" applyAlignment="1">
      <alignment horizontal="center" vertical="center" wrapText="1"/>
    </xf>
    <xf numFmtId="0" fontId="39" fillId="18" borderId="15" xfId="0" applyFont="1" applyFill="1" applyBorder="1" applyAlignment="1">
      <alignment horizontal="left" vertical="top" wrapText="1"/>
    </xf>
    <xf numFmtId="0" fontId="40" fillId="18" borderId="15" xfId="0" applyFont="1" applyFill="1" applyBorder="1" applyAlignment="1">
      <alignment horizontal="left" vertical="top" wrapText="1"/>
    </xf>
    <xf numFmtId="0" fontId="39" fillId="18" borderId="15" xfId="0" quotePrefix="1" applyFont="1" applyFill="1" applyBorder="1" applyAlignment="1">
      <alignment horizontal="center" vertical="center" wrapText="1"/>
    </xf>
    <xf numFmtId="0" fontId="40" fillId="18" borderId="15" xfId="0" applyFont="1" applyFill="1" applyBorder="1" applyAlignment="1">
      <alignment horizontal="center" vertical="center" wrapText="1"/>
    </xf>
    <xf numFmtId="0" fontId="39" fillId="0" borderId="18" xfId="0" applyFont="1" applyFill="1" applyBorder="1" applyAlignment="1">
      <alignment horizontal="left" vertical="top" wrapText="1"/>
    </xf>
    <xf numFmtId="0" fontId="40" fillId="0" borderId="19" xfId="0" applyFont="1" applyFill="1" applyBorder="1" applyAlignment="1">
      <alignment horizontal="left" vertical="top" wrapText="1"/>
    </xf>
    <xf numFmtId="0" fontId="39" fillId="18" borderId="18" xfId="0" applyFont="1" applyFill="1" applyBorder="1" applyAlignment="1">
      <alignment horizontal="left" vertical="top" wrapText="1"/>
    </xf>
    <xf numFmtId="0" fontId="40" fillId="18" borderId="19" xfId="0" applyFont="1" applyFill="1" applyBorder="1" applyAlignment="1">
      <alignment horizontal="left" vertical="top" wrapText="1"/>
    </xf>
    <xf numFmtId="0" fontId="3" fillId="0" borderId="15" xfId="0" applyFont="1" applyFill="1" applyBorder="1" applyAlignment="1">
      <alignment horizontal="left" vertical="center" wrapText="1"/>
    </xf>
    <xf numFmtId="0" fontId="25" fillId="0" borderId="1" xfId="0" applyFont="1" applyBorder="1" applyAlignment="1" applyProtection="1">
      <alignment horizontal="center" vertical="center" wrapText="1"/>
      <protection locked="0"/>
    </xf>
    <xf numFmtId="14" fontId="41" fillId="0" borderId="1" xfId="0" applyNumberFormat="1" applyFont="1" applyBorder="1" applyAlignment="1" applyProtection="1">
      <alignment horizontal="center" vertical="center" wrapText="1"/>
      <protection locked="0"/>
    </xf>
    <xf numFmtId="0" fontId="9" fillId="0" borderId="20" xfId="0" applyFont="1" applyFill="1" applyBorder="1" applyAlignment="1">
      <alignment horizontal="center" vertical="center" wrapText="1"/>
    </xf>
    <xf numFmtId="0" fontId="9" fillId="18" borderId="20" xfId="0" applyFont="1" applyFill="1" applyBorder="1" applyAlignment="1">
      <alignment horizontal="center" vertical="center" wrapText="1"/>
    </xf>
    <xf numFmtId="0" fontId="40" fillId="18" borderId="19" xfId="0" applyFont="1" applyFill="1" applyBorder="1" applyAlignment="1">
      <alignment horizontal="center" vertical="center" wrapText="1"/>
    </xf>
    <xf numFmtId="0" fontId="3" fillId="0" borderId="0" xfId="0" applyFont="1" applyFill="1" applyBorder="1" applyAlignment="1">
      <alignment horizontal="center" vertical="center"/>
    </xf>
    <xf numFmtId="0" fontId="3" fillId="0" borderId="0" xfId="0" applyFont="1" applyBorder="1" applyAlignment="1">
      <alignment horizontal="center"/>
    </xf>
    <xf numFmtId="0" fontId="9" fillId="18" borderId="21" xfId="0" applyFont="1" applyFill="1" applyBorder="1" applyAlignment="1">
      <alignment horizontal="center"/>
    </xf>
    <xf numFmtId="0" fontId="0" fillId="18" borderId="17" xfId="0" applyFill="1" applyBorder="1"/>
    <xf numFmtId="0" fontId="0" fillId="18" borderId="18" xfId="0" applyFill="1" applyBorder="1"/>
    <xf numFmtId="0" fontId="0" fillId="18" borderId="22" xfId="0" applyFill="1" applyBorder="1" applyAlignment="1">
      <alignment horizontal="center"/>
    </xf>
    <xf numFmtId="0" fontId="0" fillId="18" borderId="23" xfId="0" applyFill="1" applyBorder="1" applyAlignment="1">
      <alignment horizontal="center"/>
    </xf>
    <xf numFmtId="0" fontId="0" fillId="18" borderId="24" xfId="0" applyFill="1" applyBorder="1" applyAlignment="1">
      <alignment horizontal="center"/>
    </xf>
    <xf numFmtId="0" fontId="0" fillId="18" borderId="0" xfId="0" applyFill="1" applyBorder="1"/>
    <xf numFmtId="0" fontId="0" fillId="18" borderId="25" xfId="0" applyFill="1" applyBorder="1" applyAlignment="1">
      <alignment horizontal="center"/>
    </xf>
    <xf numFmtId="0" fontId="9" fillId="18" borderId="26" xfId="0" applyFont="1" applyFill="1" applyBorder="1" applyAlignment="1">
      <alignment horizontal="center" vertical="center"/>
    </xf>
    <xf numFmtId="0" fontId="0" fillId="18" borderId="27" xfId="0" applyFill="1" applyBorder="1" applyAlignment="1">
      <alignment horizontal="center"/>
    </xf>
    <xf numFmtId="0" fontId="0" fillId="18" borderId="0" xfId="0" applyFill="1" applyBorder="1" applyAlignment="1">
      <alignment horizontal="center"/>
    </xf>
    <xf numFmtId="0" fontId="9" fillId="18" borderId="28" xfId="0" applyFont="1" applyFill="1" applyBorder="1" applyAlignment="1">
      <alignment horizontal="center" vertical="center"/>
    </xf>
    <xf numFmtId="0" fontId="9" fillId="18" borderId="29" xfId="0" applyFont="1" applyFill="1" applyBorder="1" applyAlignment="1">
      <alignment horizontal="center" vertical="center"/>
    </xf>
    <xf numFmtId="0" fontId="3" fillId="18" borderId="12" xfId="0" applyFont="1" applyFill="1" applyBorder="1" applyAlignment="1">
      <alignment horizontal="center" vertical="center"/>
    </xf>
    <xf numFmtId="0" fontId="5" fillId="0" borderId="30" xfId="0" applyFont="1" applyBorder="1" applyAlignment="1" applyProtection="1">
      <alignment horizontal="center" vertical="center" wrapText="1"/>
      <protection locked="0"/>
    </xf>
    <xf numFmtId="0" fontId="25" fillId="0" borderId="1" xfId="0" applyFont="1" applyBorder="1" applyAlignment="1" applyProtection="1">
      <alignment horizontal="left" vertical="center" wrapText="1"/>
      <protection locked="0"/>
    </xf>
    <xf numFmtId="0" fontId="3" fillId="20" borderId="31" xfId="0" applyFont="1" applyFill="1" applyBorder="1" applyAlignment="1">
      <alignment horizontal="center" vertical="center"/>
    </xf>
    <xf numFmtId="0" fontId="3" fillId="20" borderId="32" xfId="0" applyFont="1" applyFill="1" applyBorder="1" applyAlignment="1">
      <alignment horizontal="center" vertical="center"/>
    </xf>
    <xf numFmtId="0" fontId="3" fillId="20" borderId="33" xfId="0" applyFont="1" applyFill="1" applyBorder="1" applyAlignment="1">
      <alignment horizontal="center" vertical="center"/>
    </xf>
    <xf numFmtId="0" fontId="3" fillId="20" borderId="29" xfId="0" applyFont="1" applyFill="1" applyBorder="1" applyAlignment="1">
      <alignment horizontal="center" vertical="center"/>
    </xf>
    <xf numFmtId="0" fontId="0" fillId="20" borderId="1" xfId="0" applyFill="1" applyBorder="1" applyAlignment="1">
      <alignment horizontal="center"/>
    </xf>
    <xf numFmtId="0" fontId="0" fillId="20" borderId="30" xfId="0" applyFill="1" applyBorder="1" applyAlignment="1">
      <alignment horizontal="center"/>
    </xf>
    <xf numFmtId="0" fontId="0" fillId="21" borderId="25" xfId="0" applyFill="1" applyBorder="1" applyAlignment="1">
      <alignment horizontal="center"/>
    </xf>
    <xf numFmtId="0" fontId="0" fillId="20" borderId="25" xfId="0" applyFill="1" applyBorder="1" applyAlignment="1">
      <alignment horizontal="center"/>
    </xf>
    <xf numFmtId="0" fontId="3" fillId="21" borderId="34" xfId="0" applyFont="1" applyFill="1" applyBorder="1" applyAlignment="1">
      <alignment horizontal="center" vertical="center"/>
    </xf>
    <xf numFmtId="0" fontId="3" fillId="21" borderId="35" xfId="0" applyFont="1" applyFill="1" applyBorder="1" applyAlignment="1">
      <alignment horizontal="center" vertical="center"/>
    </xf>
    <xf numFmtId="0" fontId="3" fillId="21" borderId="36" xfId="0" applyFont="1" applyFill="1" applyBorder="1" applyAlignment="1">
      <alignment horizontal="center" vertical="center"/>
    </xf>
    <xf numFmtId="0" fontId="0" fillId="22" borderId="19" xfId="0" applyFill="1" applyBorder="1" applyAlignment="1">
      <alignment horizontal="center"/>
    </xf>
    <xf numFmtId="0" fontId="0" fillId="22" borderId="20" xfId="0" applyFill="1" applyBorder="1" applyAlignment="1">
      <alignment horizontal="center"/>
    </xf>
    <xf numFmtId="0" fontId="2" fillId="23" borderId="19" xfId="0" applyFont="1" applyFill="1" applyBorder="1" applyAlignment="1">
      <alignment horizontal="center"/>
    </xf>
    <xf numFmtId="0" fontId="2" fillId="23" borderId="20" xfId="0" applyFont="1" applyFill="1" applyBorder="1" applyAlignment="1">
      <alignment horizontal="center"/>
    </xf>
    <xf numFmtId="0" fontId="0" fillId="24" borderId="19" xfId="0" applyFill="1" applyBorder="1"/>
    <xf numFmtId="0" fontId="0" fillId="21" borderId="37" xfId="0" applyFill="1" applyBorder="1"/>
    <xf numFmtId="0" fontId="0" fillId="20" borderId="20" xfId="0" applyFill="1" applyBorder="1"/>
    <xf numFmtId="0" fontId="0" fillId="20" borderId="38" xfId="0" applyFill="1" applyBorder="1" applyAlignment="1">
      <alignment horizontal="center"/>
    </xf>
    <xf numFmtId="0" fontId="0" fillId="24" borderId="20" xfId="0" applyFill="1" applyBorder="1"/>
    <xf numFmtId="0" fontId="0" fillId="24" borderId="15" xfId="0" applyFill="1" applyBorder="1"/>
    <xf numFmtId="0" fontId="44" fillId="25" borderId="0" xfId="0" applyFont="1" applyFill="1" applyBorder="1" applyAlignment="1">
      <alignment horizontal="center" vertical="center" wrapText="1"/>
    </xf>
    <xf numFmtId="0" fontId="44" fillId="25" borderId="0" xfId="0" applyFont="1" applyFill="1" applyBorder="1"/>
    <xf numFmtId="0" fontId="44" fillId="25" borderId="0" xfId="0" applyFont="1" applyFill="1" applyBorder="1" applyAlignment="1">
      <alignment horizontal="right"/>
    </xf>
    <xf numFmtId="0" fontId="44" fillId="25" borderId="21" xfId="0" applyFont="1" applyFill="1" applyBorder="1" applyAlignment="1">
      <alignment horizontal="center" vertical="center" wrapText="1"/>
    </xf>
    <xf numFmtId="0" fontId="44" fillId="25" borderId="17" xfId="0" applyFont="1" applyFill="1" applyBorder="1"/>
    <xf numFmtId="0" fontId="44" fillId="25" borderId="18" xfId="0" applyFont="1" applyFill="1" applyBorder="1"/>
    <xf numFmtId="0" fontId="44" fillId="25" borderId="10" xfId="0" applyFont="1" applyFill="1" applyBorder="1" applyAlignment="1">
      <alignment horizontal="center" vertical="center"/>
    </xf>
    <xf numFmtId="0" fontId="44" fillId="25" borderId="11" xfId="0" applyFont="1" applyFill="1" applyBorder="1"/>
    <xf numFmtId="0" fontId="45" fillId="25" borderId="10" xfId="0" applyFont="1" applyFill="1" applyBorder="1" applyAlignment="1">
      <alignment horizontal="center" vertical="center"/>
    </xf>
    <xf numFmtId="0" fontId="44" fillId="25" borderId="10" xfId="0" applyFont="1" applyFill="1" applyBorder="1" applyAlignment="1">
      <alignment horizontal="center" vertical="center" wrapText="1"/>
    </xf>
    <xf numFmtId="0" fontId="44" fillId="25" borderId="12" xfId="0" applyFont="1" applyFill="1" applyBorder="1" applyAlignment="1">
      <alignment horizontal="center" vertical="center" wrapText="1"/>
    </xf>
    <xf numFmtId="0" fontId="44" fillId="25" borderId="14" xfId="0" applyFont="1" applyFill="1" applyBorder="1" applyAlignment="1">
      <alignment horizontal="center" vertical="center" wrapText="1"/>
    </xf>
    <xf numFmtId="0" fontId="44" fillId="25" borderId="13" xfId="0" applyFont="1" applyFill="1" applyBorder="1"/>
    <xf numFmtId="0" fontId="0" fillId="20" borderId="15" xfId="0" applyFill="1" applyBorder="1"/>
    <xf numFmtId="9" fontId="9" fillId="0" borderId="39" xfId="0" applyNumberFormat="1" applyFont="1" applyBorder="1" applyAlignment="1">
      <alignment horizontal="center" vertical="center" wrapText="1"/>
    </xf>
    <xf numFmtId="9" fontId="9" fillId="0" borderId="39" xfId="0" applyNumberFormat="1" applyFont="1" applyBorder="1" applyAlignment="1">
      <alignment horizontal="center" vertical="top" wrapText="1"/>
    </xf>
    <xf numFmtId="9" fontId="9" fillId="0" borderId="40" xfId="0" applyNumberFormat="1" applyFont="1" applyBorder="1" applyAlignment="1">
      <alignment horizontal="center" vertical="top" wrapText="1"/>
    </xf>
    <xf numFmtId="9" fontId="9" fillId="0" borderId="41" xfId="0" applyNumberFormat="1" applyFont="1" applyBorder="1" applyAlignment="1">
      <alignment horizontal="center" vertical="center" wrapText="1"/>
    </xf>
    <xf numFmtId="0" fontId="9" fillId="0" borderId="42" xfId="0" applyFont="1" applyBorder="1" applyAlignment="1">
      <alignment horizontal="center" vertical="center" wrapText="1"/>
    </xf>
    <xf numFmtId="9" fontId="9" fillId="0" borderId="11" xfId="0" applyNumberFormat="1" applyFont="1" applyBorder="1" applyAlignment="1">
      <alignment horizontal="center" vertical="top" wrapText="1"/>
    </xf>
    <xf numFmtId="9" fontId="9" fillId="0" borderId="13" xfId="0" applyNumberFormat="1" applyFont="1" applyBorder="1" applyAlignment="1">
      <alignment horizontal="center" vertical="top" wrapText="1"/>
    </xf>
    <xf numFmtId="9" fontId="9" fillId="0" borderId="43" xfId="0" applyNumberFormat="1" applyFont="1" applyBorder="1" applyAlignment="1">
      <alignment horizontal="center" vertical="top" wrapText="1"/>
    </xf>
    <xf numFmtId="0" fontId="9" fillId="18" borderId="36" xfId="0" applyFont="1" applyFill="1" applyBorder="1" applyAlignment="1">
      <alignment horizontal="left" vertical="center" wrapText="1"/>
    </xf>
    <xf numFmtId="0" fontId="9" fillId="18" borderId="28" xfId="0" applyFont="1" applyFill="1" applyBorder="1" applyAlignment="1">
      <alignment horizontal="left" vertical="center" wrapText="1"/>
    </xf>
    <xf numFmtId="0" fontId="3" fillId="18" borderId="33" xfId="0" applyFont="1" applyFill="1" applyBorder="1" applyAlignment="1">
      <alignment horizontal="left" vertical="center" wrapText="1"/>
    </xf>
    <xf numFmtId="0" fontId="3" fillId="18" borderId="29" xfId="0" applyFont="1" applyFill="1" applyBorder="1" applyAlignment="1">
      <alignment horizontal="left" vertical="center" wrapText="1"/>
    </xf>
    <xf numFmtId="0" fontId="9" fillId="18" borderId="37" xfId="0" applyFont="1" applyFill="1" applyBorder="1" applyAlignment="1">
      <alignment horizontal="left" vertical="top" wrapText="1"/>
    </xf>
    <xf numFmtId="0" fontId="9" fillId="18" borderId="20" xfId="0" applyFont="1" applyFill="1" applyBorder="1" applyAlignment="1">
      <alignment horizontal="left" vertical="top" wrapText="1"/>
    </xf>
    <xf numFmtId="0" fontId="26" fillId="18" borderId="44" xfId="0" applyFont="1" applyFill="1" applyBorder="1" applyAlignment="1" applyProtection="1">
      <alignment horizontal="center" vertical="center" wrapText="1"/>
    </xf>
    <xf numFmtId="0" fontId="26" fillId="18" borderId="45" xfId="0" applyFont="1" applyFill="1" applyBorder="1" applyAlignment="1" applyProtection="1">
      <alignment horizontal="center" vertical="center" wrapText="1"/>
    </xf>
    <xf numFmtId="0" fontId="50" fillId="18" borderId="0" xfId="0" applyFont="1" applyFill="1" applyBorder="1"/>
    <xf numFmtId="0" fontId="9" fillId="18" borderId="0" xfId="0" applyFont="1" applyFill="1" applyBorder="1"/>
    <xf numFmtId="0" fontId="51" fillId="0" borderId="21" xfId="0" applyFont="1" applyBorder="1"/>
    <xf numFmtId="0" fontId="51" fillId="0" borderId="17" xfId="0" applyFont="1" applyBorder="1"/>
    <xf numFmtId="0" fontId="51" fillId="0" borderId="18" xfId="0" applyFont="1" applyBorder="1"/>
    <xf numFmtId="0" fontId="51" fillId="0" borderId="10" xfId="0" applyFont="1" applyBorder="1" applyAlignment="1">
      <alignment vertical="top" wrapText="1"/>
    </xf>
    <xf numFmtId="0" fontId="51" fillId="0" borderId="0" xfId="0" applyFont="1" applyBorder="1" applyAlignment="1">
      <alignment vertical="top" wrapText="1"/>
    </xf>
    <xf numFmtId="0" fontId="51" fillId="0" borderId="0" xfId="0" applyFont="1" applyBorder="1" applyAlignment="1">
      <alignment vertical="center" wrapText="1"/>
    </xf>
    <xf numFmtId="0" fontId="51" fillId="0" borderId="0" xfId="0" applyFont="1" applyBorder="1" applyAlignment="1">
      <alignment vertical="center"/>
    </xf>
    <xf numFmtId="0" fontId="52" fillId="0" borderId="0" xfId="0" applyFont="1" applyBorder="1" applyAlignment="1">
      <alignment vertical="center"/>
    </xf>
    <xf numFmtId="0" fontId="51" fillId="0" borderId="0" xfId="0" applyFont="1" applyBorder="1"/>
    <xf numFmtId="0" fontId="51" fillId="0" borderId="11" xfId="0" applyFont="1" applyBorder="1"/>
    <xf numFmtId="0" fontId="51" fillId="0" borderId="10" xfId="0" applyFont="1" applyBorder="1" applyAlignment="1">
      <alignment vertical="center"/>
    </xf>
    <xf numFmtId="0" fontId="51" fillId="0" borderId="0" xfId="0" applyFont="1" applyFill="1" applyBorder="1" applyAlignment="1">
      <alignment vertical="center"/>
    </xf>
    <xf numFmtId="0" fontId="51" fillId="0" borderId="0" xfId="0" applyFont="1" applyFill="1" applyBorder="1" applyAlignment="1">
      <alignment vertical="center" wrapText="1"/>
    </xf>
    <xf numFmtId="0" fontId="51" fillId="0" borderId="10" xfId="0" applyFont="1" applyBorder="1" applyAlignment="1">
      <alignment vertical="center" wrapText="1"/>
    </xf>
    <xf numFmtId="0" fontId="53" fillId="0" borderId="0" xfId="0" applyFont="1" applyBorder="1" applyAlignment="1">
      <alignment vertical="center"/>
    </xf>
    <xf numFmtId="0" fontId="51" fillId="0" borderId="0" xfId="0" applyFont="1" applyBorder="1" applyAlignment="1">
      <alignment horizontal="right" vertical="center"/>
    </xf>
    <xf numFmtId="0" fontId="54" fillId="0" borderId="0" xfId="0" applyFont="1" applyBorder="1" applyAlignment="1">
      <alignment horizontal="right" vertical="center"/>
    </xf>
    <xf numFmtId="0" fontId="55" fillId="0" borderId="0" xfId="0" applyFont="1" applyBorder="1" applyAlignment="1">
      <alignment horizontal="right" vertical="center"/>
    </xf>
    <xf numFmtId="0" fontId="56" fillId="0" borderId="0" xfId="0" applyFont="1" applyBorder="1" applyAlignment="1">
      <alignment vertical="center"/>
    </xf>
    <xf numFmtId="0" fontId="51" fillId="0" borderId="0" xfId="0" applyFont="1" applyBorder="1" applyAlignment="1">
      <alignment horizontal="center" vertical="center"/>
    </xf>
    <xf numFmtId="0" fontId="56" fillId="0" borderId="0" xfId="0" applyFont="1" applyBorder="1" applyAlignment="1">
      <alignment horizontal="right" vertical="center"/>
    </xf>
    <xf numFmtId="0" fontId="53" fillId="0" borderId="0" xfId="0" applyFont="1" applyBorder="1" applyAlignment="1">
      <alignment horizontal="right" vertical="center"/>
    </xf>
    <xf numFmtId="0" fontId="51" fillId="0" borderId="8" xfId="0" applyFont="1" applyBorder="1" applyAlignment="1">
      <alignment vertical="center"/>
    </xf>
    <xf numFmtId="0" fontId="53" fillId="0" borderId="8" xfId="0" applyFont="1" applyBorder="1" applyAlignment="1">
      <alignment vertical="center"/>
    </xf>
    <xf numFmtId="0" fontId="53" fillId="0" borderId="0" xfId="0" applyFont="1" applyBorder="1" applyAlignment="1">
      <alignment horizontal="left" vertical="center"/>
    </xf>
    <xf numFmtId="0" fontId="55" fillId="0" borderId="0" xfId="0" applyFont="1" applyBorder="1" applyAlignment="1">
      <alignment vertical="center"/>
    </xf>
    <xf numFmtId="0" fontId="57" fillId="0" borderId="0" xfId="0" applyFont="1" applyBorder="1" applyAlignment="1">
      <alignment vertical="center"/>
    </xf>
    <xf numFmtId="0" fontId="58" fillId="0" borderId="0" xfId="0" applyFont="1" applyBorder="1" applyAlignment="1">
      <alignment vertical="center"/>
    </xf>
    <xf numFmtId="0" fontId="51" fillId="0" borderId="10" xfId="0" applyFont="1" applyBorder="1"/>
    <xf numFmtId="0" fontId="51" fillId="0" borderId="12" xfId="0" applyFont="1" applyBorder="1"/>
    <xf numFmtId="0" fontId="51" fillId="0" borderId="14" xfId="0" applyFont="1" applyBorder="1"/>
    <xf numFmtId="0" fontId="51" fillId="0" borderId="13" xfId="0" applyFont="1" applyBorder="1"/>
    <xf numFmtId="0" fontId="30" fillId="26" borderId="0" xfId="0" applyFont="1" applyFill="1" applyBorder="1" applyAlignment="1" applyProtection="1">
      <alignment horizontal="center"/>
    </xf>
    <xf numFmtId="0" fontId="3" fillId="26" borderId="11" xfId="0" applyFont="1" applyFill="1" applyBorder="1" applyProtection="1"/>
    <xf numFmtId="0" fontId="9" fillId="26" borderId="28" xfId="0" applyFont="1" applyFill="1" applyBorder="1" applyAlignment="1">
      <alignment horizontal="center" wrapText="1"/>
    </xf>
    <xf numFmtId="0" fontId="9" fillId="26" borderId="42" xfId="0" applyFont="1" applyFill="1" applyBorder="1" applyAlignment="1">
      <alignment horizontal="center" wrapText="1"/>
    </xf>
    <xf numFmtId="0" fontId="9" fillId="26" borderId="43" xfId="0" applyFont="1" applyFill="1" applyBorder="1" applyAlignment="1">
      <alignment horizontal="center" vertical="center" wrapText="1"/>
    </xf>
    <xf numFmtId="0" fontId="9" fillId="26" borderId="15" xfId="0" applyFont="1" applyFill="1" applyBorder="1" applyAlignment="1">
      <alignment horizontal="center" vertical="center" wrapText="1"/>
    </xf>
    <xf numFmtId="0" fontId="0" fillId="26" borderId="21" xfId="0" applyFill="1" applyBorder="1"/>
    <xf numFmtId="0" fontId="0" fillId="26" borderId="12" xfId="0" applyFill="1" applyBorder="1"/>
    <xf numFmtId="0" fontId="3" fillId="0" borderId="46" xfId="0" applyFont="1" applyFill="1" applyBorder="1" applyAlignment="1">
      <alignment horizontal="center" vertical="center" wrapText="1"/>
    </xf>
    <xf numFmtId="0" fontId="77" fillId="0" borderId="15" xfId="0" applyFont="1" applyBorder="1" applyAlignment="1">
      <alignment horizontal="center" vertical="center"/>
    </xf>
    <xf numFmtId="0" fontId="79" fillId="0" borderId="15" xfId="0" applyFont="1" applyBorder="1" applyAlignment="1">
      <alignment horizontal="center" vertical="center"/>
    </xf>
    <xf numFmtId="0" fontId="85" fillId="19" borderId="17" xfId="0" applyFont="1" applyFill="1" applyBorder="1" applyAlignment="1" applyProtection="1">
      <alignment horizontal="left"/>
    </xf>
    <xf numFmtId="0" fontId="10" fillId="0" borderId="21" xfId="0" applyFont="1" applyBorder="1" applyProtection="1"/>
    <xf numFmtId="0" fontId="10" fillId="0" borderId="17" xfId="0" applyFont="1" applyBorder="1" applyProtection="1"/>
    <xf numFmtId="0" fontId="10" fillId="0" borderId="18" xfId="0" applyFont="1" applyBorder="1" applyProtection="1"/>
    <xf numFmtId="0" fontId="10" fillId="0" borderId="0" xfId="0" applyFont="1" applyProtection="1"/>
    <xf numFmtId="0" fontId="29" fillId="0" borderId="0" xfId="0" applyFont="1" applyProtection="1"/>
    <xf numFmtId="0" fontId="10" fillId="0" borderId="10" xfId="0" applyFont="1" applyBorder="1" applyProtection="1"/>
    <xf numFmtId="0" fontId="24" fillId="18" borderId="47" xfId="0" applyFont="1" applyFill="1" applyBorder="1" applyAlignment="1" applyProtection="1">
      <alignment vertical="center"/>
    </xf>
    <xf numFmtId="0" fontId="24" fillId="18" borderId="43" xfId="0" applyFont="1" applyFill="1" applyBorder="1" applyAlignment="1" applyProtection="1">
      <alignment vertical="center"/>
    </xf>
    <xf numFmtId="0" fontId="10" fillId="19" borderId="0" xfId="0" applyFont="1" applyFill="1" applyBorder="1" applyProtection="1"/>
    <xf numFmtId="0" fontId="10" fillId="0" borderId="11" xfId="0" applyFont="1" applyBorder="1" applyProtection="1"/>
    <xf numFmtId="0" fontId="3" fillId="0" borderId="0" xfId="0" applyFont="1" applyFill="1" applyBorder="1" applyAlignment="1" applyProtection="1">
      <alignment horizontal="center" vertical="center"/>
    </xf>
    <xf numFmtId="0" fontId="10" fillId="0" borderId="10" xfId="0" applyFont="1" applyFill="1" applyBorder="1" applyProtection="1"/>
    <xf numFmtId="0" fontId="10" fillId="0" borderId="0" xfId="0" applyFont="1" applyFill="1" applyBorder="1" applyProtection="1"/>
    <xf numFmtId="0" fontId="10" fillId="0" borderId="11" xfId="0" applyFont="1" applyFill="1" applyBorder="1" applyProtection="1"/>
    <xf numFmtId="0" fontId="10" fillId="0" borderId="0" xfId="0" applyFont="1" applyFill="1" applyProtection="1"/>
    <xf numFmtId="9" fontId="3" fillId="0" borderId="0" xfId="0" applyNumberFormat="1" applyFont="1" applyFill="1" applyBorder="1" applyAlignment="1" applyProtection="1">
      <alignment horizontal="center" vertical="center" wrapText="1"/>
    </xf>
    <xf numFmtId="0" fontId="7" fillId="27" borderId="22" xfId="0" applyFont="1" applyFill="1" applyBorder="1" applyAlignment="1" applyProtection="1">
      <alignment horizontal="center" vertical="center" textRotation="90" wrapText="1"/>
    </xf>
    <xf numFmtId="0" fontId="7" fillId="0" borderId="0" xfId="0" applyFont="1" applyFill="1" applyBorder="1" applyAlignment="1" applyProtection="1">
      <alignment vertical="center" wrapText="1"/>
    </xf>
    <xf numFmtId="0" fontId="10" fillId="0" borderId="0" xfId="0" applyFont="1" applyBorder="1" applyProtection="1"/>
    <xf numFmtId="0" fontId="5" fillId="0" borderId="0" xfId="0" applyFont="1" applyBorder="1" applyAlignment="1" applyProtection="1">
      <alignment vertical="center"/>
    </xf>
    <xf numFmtId="0" fontId="42" fillId="0" borderId="0" xfId="0" applyFont="1" applyBorder="1" applyProtection="1"/>
    <xf numFmtId="0" fontId="5" fillId="0" borderId="0" xfId="0" applyFont="1" applyBorder="1" applyAlignment="1" applyProtection="1">
      <alignment horizontal="left" vertical="center"/>
    </xf>
    <xf numFmtId="0" fontId="5" fillId="19" borderId="0" xfId="0" applyFont="1" applyFill="1" applyBorder="1" applyAlignment="1" applyProtection="1">
      <alignment horizontal="left" vertical="center"/>
    </xf>
    <xf numFmtId="0" fontId="10" fillId="19" borderId="0" xfId="0" applyFont="1" applyFill="1" applyBorder="1" applyAlignment="1" applyProtection="1">
      <alignment horizontal="left" vertical="top" wrapText="1"/>
    </xf>
    <xf numFmtId="0" fontId="10" fillId="19" borderId="0" xfId="0" quotePrefix="1" applyFont="1" applyFill="1" applyBorder="1" applyAlignment="1" applyProtection="1">
      <alignment horizontal="left" vertical="top" wrapText="1"/>
    </xf>
    <xf numFmtId="0" fontId="5" fillId="0" borderId="10" xfId="0" applyFont="1" applyBorder="1" applyAlignment="1" applyProtection="1">
      <alignment vertical="center"/>
    </xf>
    <xf numFmtId="0" fontId="30" fillId="18" borderId="44" xfId="0" applyFont="1" applyFill="1" applyBorder="1" applyAlignment="1" applyProtection="1">
      <alignment horizontal="center" vertical="center" wrapText="1"/>
    </xf>
    <xf numFmtId="0" fontId="7" fillId="18" borderId="48" xfId="0" applyFont="1" applyFill="1" applyBorder="1" applyAlignment="1" applyProtection="1">
      <alignment horizontal="center" vertical="center" wrapText="1"/>
    </xf>
    <xf numFmtId="0" fontId="7" fillId="0" borderId="49" xfId="0" applyFont="1" applyBorder="1" applyAlignment="1" applyProtection="1">
      <alignment vertical="center" wrapText="1"/>
    </xf>
    <xf numFmtId="0" fontId="24" fillId="0" borderId="0" xfId="0" applyFont="1" applyFill="1" applyBorder="1" applyAlignment="1" applyProtection="1">
      <alignment horizontal="center" vertical="center"/>
    </xf>
    <xf numFmtId="0" fontId="5" fillId="0" borderId="0" xfId="0" applyFont="1" applyFill="1" applyBorder="1" applyAlignment="1" applyProtection="1">
      <alignment horizontal="center" textRotation="90"/>
    </xf>
    <xf numFmtId="0" fontId="22" fillId="0" borderId="0" xfId="0" applyFont="1" applyFill="1" applyBorder="1" applyAlignment="1" applyProtection="1">
      <alignment vertical="center"/>
    </xf>
    <xf numFmtId="0" fontId="22" fillId="0" borderId="0" xfId="0" applyFont="1" applyFill="1" applyBorder="1" applyAlignment="1" applyProtection="1">
      <alignment horizontal="center" vertical="center"/>
    </xf>
    <xf numFmtId="165" fontId="22" fillId="0" borderId="0" xfId="0" applyNumberFormat="1" applyFont="1" applyFill="1" applyBorder="1" applyAlignment="1" applyProtection="1">
      <alignment horizontal="center" vertical="center"/>
    </xf>
    <xf numFmtId="0" fontId="10" fillId="0" borderId="0" xfId="0" applyFont="1" applyFill="1" applyBorder="1" applyAlignment="1" applyProtection="1"/>
    <xf numFmtId="0" fontId="38" fillId="18" borderId="2" xfId="0" applyFont="1" applyFill="1" applyBorder="1" applyAlignment="1" applyProtection="1">
      <alignment horizontal="center" vertical="center" wrapText="1"/>
    </xf>
    <xf numFmtId="0" fontId="7" fillId="18" borderId="38" xfId="0" applyNumberFormat="1" applyFont="1" applyFill="1" applyBorder="1" applyAlignment="1" applyProtection="1">
      <alignment horizontal="center" vertical="center" wrapText="1"/>
    </xf>
    <xf numFmtId="0" fontId="10" fillId="0" borderId="10" xfId="0" applyFont="1" applyBorder="1" applyAlignment="1" applyProtection="1">
      <alignment vertical="top"/>
    </xf>
    <xf numFmtId="0" fontId="5" fillId="0" borderId="0" xfId="0" applyFont="1" applyFill="1" applyBorder="1" applyAlignment="1" applyProtection="1">
      <alignment horizontal="center" vertical="center"/>
    </xf>
    <xf numFmtId="0" fontId="5" fillId="18" borderId="50" xfId="0" applyFont="1" applyFill="1" applyBorder="1" applyAlignment="1" applyProtection="1">
      <alignment horizontal="center" vertical="center" wrapText="1"/>
    </xf>
    <xf numFmtId="0" fontId="10" fillId="0" borderId="0" xfId="0" applyFont="1" applyBorder="1" applyAlignment="1" applyProtection="1">
      <alignment vertical="top"/>
    </xf>
    <xf numFmtId="0" fontId="10" fillId="0" borderId="11" xfId="0" applyFont="1" applyBorder="1" applyAlignment="1" applyProtection="1">
      <alignment vertical="top"/>
    </xf>
    <xf numFmtId="0" fontId="10" fillId="0" borderId="0" xfId="0" applyFont="1" applyAlignment="1" applyProtection="1">
      <alignment vertical="top"/>
    </xf>
    <xf numFmtId="0" fontId="10" fillId="0" borderId="12" xfId="0" applyFont="1" applyBorder="1" applyProtection="1"/>
    <xf numFmtId="0" fontId="10" fillId="0" borderId="14" xfId="0" applyFont="1" applyBorder="1" applyProtection="1"/>
    <xf numFmtId="0" fontId="10" fillId="19" borderId="14" xfId="0" applyFont="1" applyFill="1" applyBorder="1" applyProtection="1"/>
    <xf numFmtId="0" fontId="10" fillId="0" borderId="13" xfId="0" applyFont="1" applyBorder="1" applyProtection="1"/>
    <xf numFmtId="0" fontId="30" fillId="26" borderId="19" xfId="0" applyFont="1" applyFill="1" applyBorder="1" applyAlignment="1" applyProtection="1">
      <alignment horizontal="center" wrapText="1"/>
    </xf>
    <xf numFmtId="0" fontId="10" fillId="0" borderId="0" xfId="0" applyFont="1" applyBorder="1" applyAlignment="1" applyProtection="1">
      <alignment vertical="center" wrapText="1"/>
    </xf>
    <xf numFmtId="9" fontId="61" fillId="0" borderId="19" xfId="0" applyNumberFormat="1" applyFont="1" applyBorder="1" applyAlignment="1" applyProtection="1">
      <alignment horizontal="center" vertical="center" wrapText="1"/>
    </xf>
    <xf numFmtId="0" fontId="61" fillId="0" borderId="33" xfId="0" applyFont="1" applyBorder="1" applyAlignment="1" applyProtection="1">
      <alignment horizontal="center" vertical="center" wrapText="1"/>
    </xf>
    <xf numFmtId="9" fontId="61" fillId="0" borderId="33" xfId="0" applyNumberFormat="1" applyFont="1" applyBorder="1" applyAlignment="1" applyProtection="1">
      <alignment horizontal="center" vertical="center" wrapText="1"/>
    </xf>
    <xf numFmtId="9" fontId="61" fillId="0" borderId="33" xfId="0" applyNumberFormat="1" applyFont="1" applyBorder="1" applyAlignment="1" applyProtection="1">
      <alignment horizontal="center" vertical="top" wrapText="1"/>
    </xf>
    <xf numFmtId="0" fontId="10" fillId="0" borderId="0" xfId="0" applyFont="1" applyProtection="1">
      <protection locked="0"/>
    </xf>
    <xf numFmtId="0" fontId="10" fillId="0" borderId="0" xfId="0" applyFont="1" applyBorder="1" applyAlignment="1" applyProtection="1">
      <alignment horizontal="center"/>
    </xf>
    <xf numFmtId="0" fontId="10" fillId="0" borderId="0" xfId="0" applyFont="1" applyBorder="1" applyAlignment="1" applyProtection="1">
      <alignment horizontal="center" vertical="center" wrapText="1"/>
    </xf>
    <xf numFmtId="0" fontId="87" fillId="26" borderId="47" xfId="0" applyFont="1" applyFill="1" applyBorder="1" applyAlignment="1" applyProtection="1">
      <alignment horizontal="center" vertical="center"/>
      <protection locked="0"/>
    </xf>
    <xf numFmtId="0" fontId="88" fillId="26" borderId="49" xfId="0" applyFont="1" applyFill="1" applyBorder="1" applyAlignment="1" applyProtection="1">
      <alignment horizontal="left" vertical="top" wrapText="1"/>
    </xf>
    <xf numFmtId="0" fontId="87" fillId="26" borderId="21" xfId="0" applyFont="1" applyFill="1" applyBorder="1" applyAlignment="1" applyProtection="1">
      <alignment horizontal="center" vertical="center"/>
      <protection locked="0"/>
    </xf>
    <xf numFmtId="0" fontId="14" fillId="0" borderId="26" xfId="0" applyFont="1" applyBorder="1" applyAlignment="1" applyProtection="1">
      <alignment horizontal="center"/>
      <protection locked="0"/>
    </xf>
    <xf numFmtId="0" fontId="14" fillId="0" borderId="51" xfId="0" applyFont="1" applyBorder="1" applyAlignment="1" applyProtection="1">
      <alignment horizontal="center"/>
      <protection locked="0"/>
    </xf>
    <xf numFmtId="0" fontId="14" fillId="0" borderId="52" xfId="0" applyFont="1" applyBorder="1" applyAlignment="1" applyProtection="1">
      <alignment horizontal="center"/>
      <protection locked="0"/>
    </xf>
    <xf numFmtId="0" fontId="14" fillId="0" borderId="36" xfId="0" applyFont="1" applyBorder="1" applyAlignment="1" applyProtection="1">
      <alignment horizontal="center"/>
      <protection locked="0"/>
    </xf>
    <xf numFmtId="0" fontId="14" fillId="18" borderId="47" xfId="0" applyFont="1" applyFill="1" applyBorder="1" applyAlignment="1" applyProtection="1">
      <alignment horizontal="center"/>
      <protection locked="0"/>
    </xf>
    <xf numFmtId="0" fontId="14" fillId="18" borderId="15" xfId="0" applyFont="1" applyFill="1" applyBorder="1" applyAlignment="1" applyProtection="1">
      <alignment horizontal="center"/>
      <protection locked="0"/>
    </xf>
    <xf numFmtId="0" fontId="0" fillId="26" borderId="0" xfId="0" applyFill="1" applyBorder="1" applyProtection="1"/>
    <xf numFmtId="0" fontId="0" fillId="19" borderId="11" xfId="0" applyFill="1" applyBorder="1" applyAlignment="1" applyProtection="1">
      <alignment horizontal="center" vertical="center"/>
    </xf>
    <xf numFmtId="0" fontId="0" fillId="19" borderId="11" xfId="0" applyFill="1" applyBorder="1" applyProtection="1"/>
    <xf numFmtId="0" fontId="0" fillId="19" borderId="13" xfId="0" applyFill="1" applyBorder="1" applyProtection="1"/>
    <xf numFmtId="0" fontId="74" fillId="19" borderId="0" xfId="0" applyFont="1" applyFill="1" applyBorder="1" applyAlignment="1" applyProtection="1">
      <alignment horizontal="center" vertical="center" wrapText="1"/>
    </xf>
    <xf numFmtId="0" fontId="13" fillId="19" borderId="0" xfId="0" applyFont="1" applyFill="1" applyBorder="1" applyAlignment="1" applyProtection="1">
      <alignment horizontal="center" vertical="center" wrapText="1"/>
    </xf>
    <xf numFmtId="0" fontId="28" fillId="19" borderId="0" xfId="0" applyFont="1" applyFill="1" applyBorder="1" applyProtection="1"/>
    <xf numFmtId="0" fontId="0" fillId="19" borderId="14" xfId="0" applyFill="1" applyBorder="1" applyProtection="1"/>
    <xf numFmtId="0" fontId="9" fillId="19" borderId="33" xfId="0" applyFont="1" applyFill="1" applyBorder="1" applyAlignment="1" applyProtection="1">
      <alignment horizontal="center" vertical="center" wrapText="1"/>
    </xf>
    <xf numFmtId="0" fontId="83" fillId="19" borderId="0" xfId="0" applyFont="1" applyFill="1" applyBorder="1" applyAlignment="1" applyProtection="1">
      <alignment horizontal="center" vertical="center" wrapText="1"/>
    </xf>
    <xf numFmtId="0" fontId="0" fillId="0" borderId="0" xfId="0" applyProtection="1"/>
    <xf numFmtId="0" fontId="28" fillId="0" borderId="0" xfId="0" applyFont="1"/>
    <xf numFmtId="0" fontId="77" fillId="26" borderId="12" xfId="0" applyFont="1" applyFill="1" applyBorder="1" applyAlignment="1" applyProtection="1">
      <alignment horizontal="center" vertical="top" wrapText="1"/>
    </xf>
    <xf numFmtId="0" fontId="7" fillId="18" borderId="47" xfId="0" applyFont="1" applyFill="1" applyBorder="1" applyAlignment="1" applyProtection="1">
      <alignment horizontal="center" vertical="center" wrapText="1"/>
    </xf>
    <xf numFmtId="0" fontId="7" fillId="18" borderId="15" xfId="0" applyFont="1" applyFill="1" applyBorder="1" applyAlignment="1" applyProtection="1">
      <alignment horizontal="center" vertical="center" wrapText="1"/>
    </xf>
    <xf numFmtId="0" fontId="6" fillId="18" borderId="15" xfId="0" applyFont="1" applyFill="1" applyBorder="1" applyAlignment="1" applyProtection="1">
      <alignment horizontal="center" vertical="center"/>
      <protection hidden="1"/>
    </xf>
    <xf numFmtId="0" fontId="6" fillId="18" borderId="43" xfId="0" applyFont="1" applyFill="1" applyBorder="1" applyAlignment="1" applyProtection="1">
      <alignment horizontal="center" vertical="center"/>
      <protection hidden="1"/>
    </xf>
    <xf numFmtId="0" fontId="0" fillId="26" borderId="47" xfId="0" applyFill="1" applyBorder="1" applyProtection="1"/>
    <xf numFmtId="0" fontId="7" fillId="26" borderId="49" xfId="0" applyFont="1" applyFill="1" applyBorder="1" applyAlignment="1" applyProtection="1">
      <alignment horizontal="left"/>
    </xf>
    <xf numFmtId="0" fontId="0" fillId="26" borderId="49" xfId="0" applyFill="1" applyBorder="1" applyProtection="1"/>
    <xf numFmtId="0" fontId="0" fillId="26" borderId="43" xfId="0" applyFill="1" applyBorder="1" applyProtection="1"/>
    <xf numFmtId="0" fontId="7" fillId="28" borderId="49" xfId="0" applyFont="1" applyFill="1" applyBorder="1" applyAlignment="1" applyProtection="1">
      <alignment horizontal="center"/>
    </xf>
    <xf numFmtId="0" fontId="14" fillId="28" borderId="49" xfId="0" applyFont="1" applyFill="1" applyBorder="1" applyAlignment="1" applyProtection="1">
      <alignment horizontal="center"/>
    </xf>
    <xf numFmtId="0" fontId="0" fillId="28" borderId="43" xfId="0" applyFill="1" applyBorder="1" applyProtection="1"/>
    <xf numFmtId="0" fontId="0" fillId="18" borderId="10" xfId="0" applyFill="1" applyBorder="1" applyProtection="1"/>
    <xf numFmtId="0" fontId="14" fillId="18" borderId="20" xfId="0" applyFont="1" applyFill="1" applyBorder="1" applyAlignment="1" applyProtection="1">
      <alignment horizontal="center"/>
    </xf>
    <xf numFmtId="0" fontId="14" fillId="18" borderId="12" xfId="0" applyFont="1" applyFill="1" applyBorder="1" applyAlignment="1" applyProtection="1">
      <alignment horizontal="center"/>
    </xf>
    <xf numFmtId="167" fontId="14" fillId="26" borderId="12" xfId="0" applyNumberFormat="1" applyFont="1" applyFill="1" applyBorder="1" applyAlignment="1" applyProtection="1">
      <alignment horizontal="center"/>
    </xf>
    <xf numFmtId="167" fontId="14" fillId="18" borderId="12" xfId="0" applyNumberFormat="1" applyFont="1" applyFill="1" applyBorder="1" applyAlignment="1" applyProtection="1">
      <alignment horizontal="center"/>
    </xf>
    <xf numFmtId="167" fontId="14" fillId="18" borderId="15" xfId="0" applyNumberFormat="1" applyFont="1" applyFill="1" applyBorder="1" applyAlignment="1" applyProtection="1">
      <alignment horizontal="center"/>
    </xf>
    <xf numFmtId="0" fontId="0" fillId="18" borderId="11" xfId="0" applyFill="1" applyBorder="1" applyAlignment="1" applyProtection="1"/>
    <xf numFmtId="0" fontId="0" fillId="0" borderId="0" xfId="0" applyAlignment="1" applyProtection="1"/>
    <xf numFmtId="0" fontId="14" fillId="18" borderId="51" xfId="0" applyFont="1" applyFill="1" applyBorder="1" applyAlignment="1" applyProtection="1">
      <alignment horizontal="center"/>
    </xf>
    <xf numFmtId="0" fontId="14" fillId="18" borderId="53" xfId="0" applyFont="1" applyFill="1" applyBorder="1" applyAlignment="1" applyProtection="1">
      <alignment horizontal="center"/>
    </xf>
    <xf numFmtId="0" fontId="0" fillId="18" borderId="11" xfId="0" applyFill="1" applyBorder="1" applyProtection="1"/>
    <xf numFmtId="0" fontId="14" fillId="18" borderId="15" xfId="0" applyFont="1" applyFill="1" applyBorder="1" applyAlignment="1" applyProtection="1">
      <alignment horizontal="center"/>
    </xf>
    <xf numFmtId="0" fontId="14" fillId="18" borderId="47" xfId="0" applyFont="1" applyFill="1" applyBorder="1" applyAlignment="1" applyProtection="1">
      <alignment horizontal="center"/>
    </xf>
    <xf numFmtId="0" fontId="0" fillId="18" borderId="12" xfId="0" applyFill="1" applyBorder="1" applyProtection="1"/>
    <xf numFmtId="0" fontId="0" fillId="18" borderId="14" xfId="0" applyFill="1" applyBorder="1" applyAlignment="1" applyProtection="1">
      <alignment horizontal="center"/>
    </xf>
    <xf numFmtId="0" fontId="14" fillId="18" borderId="14" xfId="0" applyFont="1" applyFill="1" applyBorder="1" applyAlignment="1" applyProtection="1">
      <alignment horizontal="center"/>
    </xf>
    <xf numFmtId="0" fontId="0" fillId="18" borderId="13" xfId="0" applyFill="1" applyBorder="1" applyProtection="1"/>
    <xf numFmtId="0" fontId="0" fillId="18" borderId="14" xfId="0" applyFill="1" applyBorder="1" applyProtection="1"/>
    <xf numFmtId="0" fontId="0" fillId="0" borderId="0" xfId="0" applyAlignment="1" applyProtection="1">
      <alignment horizontal="center"/>
    </xf>
    <xf numFmtId="0" fontId="0" fillId="0" borderId="0" xfId="0" applyFill="1" applyProtection="1"/>
    <xf numFmtId="0" fontId="3" fillId="0" borderId="0" xfId="0" applyFont="1" applyProtection="1"/>
    <xf numFmtId="0" fontId="6" fillId="19" borderId="15" xfId="0" applyFont="1" applyFill="1" applyBorder="1" applyAlignment="1" applyProtection="1">
      <alignment horizontal="center" vertical="center" wrapText="1"/>
    </xf>
    <xf numFmtId="0" fontId="9" fillId="19" borderId="15" xfId="0" applyFont="1" applyFill="1" applyBorder="1" applyAlignment="1" applyProtection="1">
      <alignment horizontal="center" vertical="center" wrapText="1"/>
    </xf>
    <xf numFmtId="0" fontId="0" fillId="0" borderId="21" xfId="0" applyBorder="1"/>
    <xf numFmtId="0" fontId="0" fillId="0" borderId="10" xfId="0" applyBorder="1"/>
    <xf numFmtId="0" fontId="0" fillId="0" borderId="12" xfId="0" applyBorder="1"/>
    <xf numFmtId="0" fontId="0" fillId="0" borderId="55" xfId="0" applyBorder="1"/>
    <xf numFmtId="0" fontId="0" fillId="0" borderId="56" xfId="0" applyBorder="1"/>
    <xf numFmtId="0" fontId="0" fillId="0" borderId="57" xfId="0" applyBorder="1"/>
    <xf numFmtId="0" fontId="0" fillId="0" borderId="37" xfId="0" applyBorder="1"/>
    <xf numFmtId="1" fontId="41" fillId="0" borderId="45" xfId="0" applyNumberFormat="1" applyFont="1" applyBorder="1" applyAlignment="1" applyProtection="1">
      <alignment horizontal="center" vertical="center" wrapText="1"/>
      <protection locked="0"/>
    </xf>
    <xf numFmtId="14" fontId="5" fillId="0" borderId="50" xfId="0" applyNumberFormat="1" applyFont="1" applyBorder="1" applyAlignment="1" applyProtection="1">
      <alignment horizontal="center" vertical="center" wrapText="1"/>
    </xf>
    <xf numFmtId="14" fontId="41" fillId="0" borderId="58" xfId="0" applyNumberFormat="1" applyFont="1" applyBorder="1" applyAlignment="1" applyProtection="1">
      <alignment horizontal="center" vertical="center" wrapText="1"/>
      <protection locked="0"/>
    </xf>
    <xf numFmtId="1" fontId="41" fillId="0" borderId="25" xfId="0" applyNumberFormat="1" applyFont="1" applyBorder="1" applyAlignment="1" applyProtection="1">
      <alignment horizontal="center" vertical="center" wrapText="1"/>
      <protection locked="0"/>
    </xf>
    <xf numFmtId="0" fontId="7" fillId="19" borderId="59" xfId="0" applyFont="1" applyFill="1" applyBorder="1" applyAlignment="1" applyProtection="1">
      <alignment horizontal="center" vertical="center" wrapText="1"/>
    </xf>
    <xf numFmtId="0" fontId="89" fillId="27" borderId="60" xfId="0" applyFont="1" applyFill="1" applyBorder="1" applyAlignment="1" applyProtection="1">
      <alignment vertical="top" wrapText="1"/>
      <protection locked="0"/>
    </xf>
    <xf numFmtId="0" fontId="89" fillId="27" borderId="49" xfId="0" applyFont="1" applyFill="1" applyBorder="1" applyAlignment="1" applyProtection="1">
      <alignment vertical="top" wrapText="1"/>
      <protection locked="0"/>
    </xf>
    <xf numFmtId="0" fontId="89" fillId="27" borderId="43" xfId="0" applyFont="1" applyFill="1" applyBorder="1" applyAlignment="1" applyProtection="1">
      <alignment vertical="top" wrapText="1"/>
      <protection locked="0"/>
    </xf>
    <xf numFmtId="0" fontId="5" fillId="0" borderId="48" xfId="0" applyFont="1" applyBorder="1" applyAlignment="1" applyProtection="1">
      <alignment vertical="center" wrapText="1"/>
      <protection locked="0"/>
    </xf>
    <xf numFmtId="0" fontId="5" fillId="0" borderId="44" xfId="0" applyFont="1" applyBorder="1" applyAlignment="1" applyProtection="1">
      <alignment vertical="center" wrapText="1"/>
      <protection locked="0"/>
    </xf>
    <xf numFmtId="0" fontId="5" fillId="0" borderId="61" xfId="0" applyFont="1" applyBorder="1" applyAlignment="1" applyProtection="1">
      <alignment vertical="center" wrapText="1"/>
      <protection locked="0"/>
    </xf>
    <xf numFmtId="0" fontId="26" fillId="18" borderId="62" xfId="0" applyFont="1" applyFill="1" applyBorder="1" applyAlignment="1" applyProtection="1">
      <alignment vertical="center" wrapText="1"/>
    </xf>
    <xf numFmtId="0" fontId="26" fillId="18" borderId="44" xfId="0" applyFont="1" applyFill="1" applyBorder="1" applyAlignment="1" applyProtection="1">
      <alignment vertical="center" wrapText="1"/>
    </xf>
    <xf numFmtId="0" fontId="7" fillId="18" borderId="47" xfId="0" applyFont="1" applyFill="1" applyBorder="1" applyAlignment="1" applyProtection="1">
      <alignment vertical="center" wrapText="1"/>
      <protection locked="0"/>
    </xf>
    <xf numFmtId="0" fontId="7" fillId="18" borderId="43" xfId="0" applyFont="1" applyFill="1" applyBorder="1" applyAlignment="1" applyProtection="1">
      <alignment vertical="center" wrapText="1"/>
      <protection locked="0"/>
    </xf>
    <xf numFmtId="0" fontId="26" fillId="18" borderId="63" xfId="0" applyFont="1" applyFill="1" applyBorder="1" applyAlignment="1" applyProtection="1">
      <alignment vertical="center" wrapText="1"/>
    </xf>
    <xf numFmtId="0" fontId="26" fillId="18" borderId="55" xfId="0" applyFont="1" applyFill="1" applyBorder="1" applyAlignment="1" applyProtection="1">
      <alignment vertical="center" wrapText="1"/>
    </xf>
    <xf numFmtId="0" fontId="26" fillId="18" borderId="42" xfId="0" applyFont="1" applyFill="1" applyBorder="1" applyAlignment="1" applyProtection="1">
      <alignment vertical="center" wrapText="1"/>
    </xf>
    <xf numFmtId="0" fontId="7" fillId="18" borderId="21" xfId="0" applyFont="1" applyFill="1" applyBorder="1" applyAlignment="1" applyProtection="1">
      <alignment vertical="center" wrapText="1"/>
    </xf>
    <xf numFmtId="0" fontId="26" fillId="18" borderId="64" xfId="0" applyFont="1" applyFill="1" applyBorder="1" applyAlignment="1" applyProtection="1">
      <alignment vertical="center" wrapText="1"/>
    </xf>
    <xf numFmtId="0" fontId="5" fillId="18" borderId="21" xfId="0" applyFont="1" applyFill="1" applyBorder="1" applyAlignment="1" applyProtection="1">
      <alignment vertical="center" textRotation="90" wrapText="1"/>
    </xf>
    <xf numFmtId="0" fontId="5" fillId="18" borderId="65" xfId="0" applyFont="1" applyFill="1" applyBorder="1" applyAlignment="1" applyProtection="1">
      <alignment vertical="center" textRotation="90" wrapText="1"/>
    </xf>
    <xf numFmtId="0" fontId="4" fillId="18" borderId="10" xfId="0" applyFont="1" applyFill="1" applyBorder="1" applyAlignment="1" applyProtection="1">
      <alignment vertical="center" textRotation="90" wrapText="1"/>
    </xf>
    <xf numFmtId="0" fontId="4" fillId="18" borderId="6" xfId="0" applyFont="1" applyFill="1" applyBorder="1" applyAlignment="1" applyProtection="1">
      <alignment vertical="center" textRotation="90" wrapText="1"/>
    </xf>
    <xf numFmtId="0" fontId="5" fillId="18" borderId="10" xfId="0" applyFont="1" applyFill="1" applyBorder="1" applyAlignment="1" applyProtection="1">
      <alignment vertical="center" textRotation="90" wrapText="1"/>
    </xf>
    <xf numFmtId="0" fontId="5" fillId="18" borderId="6" xfId="0" applyFont="1" applyFill="1" applyBorder="1" applyAlignment="1" applyProtection="1">
      <alignment vertical="center" textRotation="90" wrapText="1"/>
    </xf>
    <xf numFmtId="0" fontId="4" fillId="18" borderId="12" xfId="0" applyFont="1" applyFill="1" applyBorder="1" applyAlignment="1" applyProtection="1">
      <alignment vertical="center" textRotation="90" wrapText="1"/>
    </xf>
    <xf numFmtId="0" fontId="4" fillId="18" borderId="66" xfId="0" applyFont="1" applyFill="1" applyBorder="1" applyAlignment="1" applyProtection="1">
      <alignment vertical="center" textRotation="90" wrapText="1"/>
    </xf>
    <xf numFmtId="0" fontId="5" fillId="18" borderId="12" xfId="0" applyFont="1" applyFill="1" applyBorder="1" applyAlignment="1" applyProtection="1">
      <alignment vertical="center" textRotation="90" wrapText="1"/>
    </xf>
    <xf numFmtId="0" fontId="5" fillId="18" borderId="66" xfId="0" applyFont="1" applyFill="1" applyBorder="1" applyAlignment="1" applyProtection="1">
      <alignment vertical="center" textRotation="90" wrapText="1"/>
    </xf>
    <xf numFmtId="0" fontId="24" fillId="26" borderId="49" xfId="0" applyFont="1" applyFill="1" applyBorder="1" applyAlignment="1" applyProtection="1">
      <alignment vertical="center" wrapText="1"/>
    </xf>
    <xf numFmtId="0" fontId="24" fillId="26" borderId="43" xfId="0" applyFont="1" applyFill="1" applyBorder="1" applyAlignment="1" applyProtection="1">
      <alignment vertical="center" wrapText="1"/>
    </xf>
    <xf numFmtId="0" fontId="24" fillId="26" borderId="43" xfId="0" applyFont="1" applyFill="1" applyBorder="1" applyAlignment="1" applyProtection="1">
      <alignment vertical="center"/>
    </xf>
    <xf numFmtId="14" fontId="43" fillId="26" borderId="47" xfId="0" applyNumberFormat="1" applyFont="1" applyFill="1" applyBorder="1" applyAlignment="1" applyProtection="1">
      <alignment vertical="center" wrapText="1"/>
    </xf>
    <xf numFmtId="14" fontId="43" fillId="26" borderId="49" xfId="0" applyNumberFormat="1" applyFont="1" applyFill="1" applyBorder="1" applyAlignment="1" applyProtection="1">
      <alignment vertical="center" wrapText="1"/>
    </xf>
    <xf numFmtId="14" fontId="43" fillId="26" borderId="43" xfId="0" applyNumberFormat="1" applyFont="1" applyFill="1" applyBorder="1" applyAlignment="1" applyProtection="1">
      <alignment vertical="center" wrapText="1"/>
    </xf>
    <xf numFmtId="0" fontId="60" fillId="26" borderId="47" xfId="0" applyFont="1" applyFill="1" applyBorder="1" applyAlignment="1" applyProtection="1">
      <alignment vertical="center"/>
    </xf>
    <xf numFmtId="0" fontId="60" fillId="26" borderId="49" xfId="0" applyFont="1" applyFill="1" applyBorder="1" applyAlignment="1" applyProtection="1">
      <alignment vertical="center"/>
    </xf>
    <xf numFmtId="0" fontId="60" fillId="26" borderId="43" xfId="0" applyFont="1" applyFill="1" applyBorder="1" applyAlignment="1" applyProtection="1">
      <alignment vertical="center"/>
    </xf>
    <xf numFmtId="0" fontId="0" fillId="26" borderId="49" xfId="0" applyFill="1" applyBorder="1" applyAlignment="1" applyProtection="1">
      <alignment vertical="center"/>
    </xf>
    <xf numFmtId="0" fontId="0" fillId="26" borderId="43" xfId="0" applyFill="1" applyBorder="1" applyAlignment="1" applyProtection="1">
      <alignment vertical="center"/>
    </xf>
    <xf numFmtId="0" fontId="24" fillId="26" borderId="49" xfId="0" applyFont="1" applyFill="1" applyBorder="1" applyAlignment="1" applyProtection="1">
      <alignment vertical="center"/>
    </xf>
    <xf numFmtId="0" fontId="27" fillId="0" borderId="47" xfId="0" applyFont="1" applyFill="1" applyBorder="1" applyAlignment="1" applyProtection="1">
      <alignment vertical="center"/>
      <protection locked="0"/>
    </xf>
    <xf numFmtId="0" fontId="27" fillId="0" borderId="49" xfId="0" applyFont="1" applyFill="1" applyBorder="1" applyAlignment="1" applyProtection="1">
      <alignment vertical="center"/>
      <protection locked="0"/>
    </xf>
    <xf numFmtId="0" fontId="27" fillId="0" borderId="43" xfId="0" applyFont="1" applyFill="1" applyBorder="1" applyAlignment="1" applyProtection="1">
      <alignment vertical="center"/>
      <protection locked="0"/>
    </xf>
    <xf numFmtId="0" fontId="5" fillId="0" borderId="21" xfId="0" applyFont="1" applyFill="1" applyBorder="1" applyAlignment="1" applyProtection="1">
      <alignment vertical="top"/>
      <protection locked="0"/>
    </xf>
    <xf numFmtId="0" fontId="5" fillId="0" borderId="17" xfId="0" applyFont="1" applyFill="1" applyBorder="1" applyAlignment="1" applyProtection="1">
      <alignment vertical="top"/>
      <protection locked="0"/>
    </xf>
    <xf numFmtId="0" fontId="5" fillId="0" borderId="18" xfId="0" applyFont="1" applyFill="1" applyBorder="1" applyAlignment="1" applyProtection="1">
      <alignment vertical="top"/>
      <protection locked="0"/>
    </xf>
    <xf numFmtId="0" fontId="26" fillId="18" borderId="21" xfId="0" applyFont="1" applyFill="1" applyBorder="1" applyAlignment="1" applyProtection="1">
      <alignment vertical="center" wrapText="1"/>
    </xf>
    <xf numFmtId="0" fontId="26" fillId="18" borderId="65" xfId="0" applyFont="1" applyFill="1" applyBorder="1" applyAlignment="1" applyProtection="1">
      <alignment vertical="center" wrapText="1"/>
    </xf>
    <xf numFmtId="0" fontId="26" fillId="18" borderId="62" xfId="0" applyFont="1" applyFill="1" applyBorder="1" applyAlignment="1" applyProtection="1">
      <alignment vertical="center"/>
    </xf>
    <xf numFmtId="0" fontId="26" fillId="18" borderId="67" xfId="0" applyFont="1" applyFill="1" applyBorder="1" applyAlignment="1" applyProtection="1">
      <alignment vertical="center" wrapText="1"/>
    </xf>
    <xf numFmtId="0" fontId="26" fillId="18" borderId="68" xfId="0" applyFont="1" applyFill="1" applyBorder="1" applyAlignment="1" applyProtection="1">
      <alignment vertical="center" wrapText="1"/>
    </xf>
    <xf numFmtId="0" fontId="26" fillId="18" borderId="18" xfId="0" applyFont="1" applyFill="1" applyBorder="1" applyAlignment="1" applyProtection="1">
      <alignment vertical="center" wrapText="1"/>
    </xf>
    <xf numFmtId="0" fontId="5" fillId="0" borderId="10" xfId="0" applyFont="1" applyFill="1" applyBorder="1" applyAlignment="1" applyProtection="1">
      <alignment vertical="top"/>
      <protection locked="0"/>
    </xf>
    <xf numFmtId="0" fontId="5" fillId="0" borderId="0" xfId="0" applyFont="1" applyFill="1" applyBorder="1" applyAlignment="1" applyProtection="1">
      <alignment vertical="top"/>
      <protection locked="0"/>
    </xf>
    <xf numFmtId="0" fontId="5" fillId="0" borderId="11" xfId="0" applyFont="1" applyFill="1" applyBorder="1" applyAlignment="1" applyProtection="1">
      <alignment vertical="top"/>
      <protection locked="0"/>
    </xf>
    <xf numFmtId="0" fontId="26" fillId="18" borderId="10" xfId="0" applyFont="1" applyFill="1" applyBorder="1" applyAlignment="1" applyProtection="1">
      <alignment vertical="center" wrapText="1"/>
    </xf>
    <xf numFmtId="0" fontId="26" fillId="18" borderId="6" xfId="0" applyFont="1" applyFill="1" applyBorder="1" applyAlignment="1" applyProtection="1">
      <alignment vertical="center" wrapText="1"/>
    </xf>
    <xf numFmtId="0" fontId="26" fillId="18" borderId="69" xfId="0" applyFont="1" applyFill="1" applyBorder="1" applyAlignment="1" applyProtection="1">
      <alignment vertical="center"/>
    </xf>
    <xf numFmtId="0" fontId="26" fillId="18" borderId="27" xfId="0" applyFont="1" applyFill="1" applyBorder="1" applyAlignment="1" applyProtection="1">
      <alignment vertical="center" wrapText="1"/>
    </xf>
    <xf numFmtId="0" fontId="26" fillId="18" borderId="53" xfId="0" applyFont="1" applyFill="1" applyBorder="1" applyAlignment="1" applyProtection="1">
      <alignment vertical="center" wrapText="1"/>
    </xf>
    <xf numFmtId="0" fontId="26" fillId="18" borderId="9" xfId="0" applyFont="1" applyFill="1" applyBorder="1" applyAlignment="1" applyProtection="1">
      <alignment vertical="center" wrapText="1"/>
    </xf>
    <xf numFmtId="0" fontId="26" fillId="18" borderId="7" xfId="0" applyFont="1" applyFill="1" applyBorder="1" applyAlignment="1" applyProtection="1">
      <alignment vertical="center" wrapText="1"/>
    </xf>
    <xf numFmtId="0" fontId="26" fillId="18" borderId="70" xfId="0" applyFont="1" applyFill="1" applyBorder="1" applyAlignment="1" applyProtection="1">
      <alignment vertical="center" wrapText="1"/>
    </xf>
    <xf numFmtId="0" fontId="26" fillId="18" borderId="44" xfId="0" applyFont="1" applyFill="1" applyBorder="1" applyAlignment="1" applyProtection="1">
      <alignment vertical="center"/>
    </xf>
    <xf numFmtId="0" fontId="26" fillId="18" borderId="45" xfId="0" applyFont="1" applyFill="1" applyBorder="1" applyAlignment="1" applyProtection="1">
      <alignment vertical="center" wrapText="1"/>
    </xf>
    <xf numFmtId="0" fontId="5" fillId="0" borderId="71" xfId="0" applyFont="1" applyBorder="1" applyAlignment="1" applyProtection="1">
      <alignment vertical="center" wrapText="1"/>
      <protection locked="0"/>
    </xf>
    <xf numFmtId="0" fontId="5" fillId="0" borderId="72" xfId="0" applyFont="1" applyBorder="1" applyAlignment="1" applyProtection="1">
      <alignment vertical="center" wrapText="1"/>
      <protection locked="0"/>
    </xf>
    <xf numFmtId="0" fontId="5" fillId="0" borderId="38" xfId="0" applyFont="1" applyBorder="1" applyAlignment="1" applyProtection="1">
      <alignment vertical="center" wrapText="1"/>
      <protection locked="0"/>
    </xf>
    <xf numFmtId="14" fontId="5" fillId="0" borderId="38" xfId="0" applyNumberFormat="1" applyFont="1" applyBorder="1" applyAlignment="1" applyProtection="1">
      <alignment vertical="center" wrapText="1"/>
      <protection locked="0"/>
    </xf>
    <xf numFmtId="14" fontId="5" fillId="0" borderId="40" xfId="0" applyNumberFormat="1" applyFont="1" applyBorder="1" applyAlignment="1" applyProtection="1">
      <alignment vertical="center" wrapText="1"/>
      <protection locked="0"/>
    </xf>
    <xf numFmtId="0" fontId="5" fillId="0" borderId="35" xfId="0" applyNumberFormat="1" applyFont="1" applyFill="1" applyBorder="1" applyAlignment="1" applyProtection="1">
      <alignment vertical="center" wrapText="1"/>
      <protection locked="0"/>
    </xf>
    <xf numFmtId="0" fontId="5" fillId="0" borderId="4" xfId="0" applyNumberFormat="1" applyFont="1" applyFill="1" applyBorder="1" applyAlignment="1" applyProtection="1">
      <alignment vertical="center" wrapText="1"/>
      <protection locked="0"/>
    </xf>
    <xf numFmtId="165" fontId="41" fillId="0" borderId="48" xfId="0" applyNumberFormat="1" applyFont="1" applyBorder="1" applyAlignment="1" applyProtection="1">
      <alignment vertical="center" wrapText="1"/>
      <protection locked="0"/>
    </xf>
    <xf numFmtId="1" fontId="41" fillId="0" borderId="73" xfId="0" applyNumberFormat="1" applyFont="1" applyBorder="1" applyAlignment="1" applyProtection="1">
      <alignment vertical="center" wrapText="1"/>
      <protection locked="0"/>
    </xf>
    <xf numFmtId="0" fontId="7" fillId="18" borderId="47" xfId="0" applyFont="1" applyFill="1" applyBorder="1" applyAlignment="1" applyProtection="1">
      <alignment vertical="center" wrapText="1"/>
    </xf>
    <xf numFmtId="0" fontId="7" fillId="18" borderId="74" xfId="0" applyFont="1" applyFill="1" applyBorder="1" applyAlignment="1" applyProtection="1">
      <alignment vertical="center" wrapText="1"/>
    </xf>
    <xf numFmtId="0" fontId="5" fillId="0" borderId="60" xfId="0" applyFont="1" applyBorder="1" applyAlignment="1" applyProtection="1">
      <alignment vertical="center" wrapText="1"/>
      <protection locked="0"/>
    </xf>
    <xf numFmtId="0" fontId="5" fillId="0" borderId="49" xfId="0" applyFont="1" applyBorder="1" applyAlignment="1" applyProtection="1">
      <alignment vertical="center" wrapText="1"/>
      <protection locked="0"/>
    </xf>
    <xf numFmtId="0" fontId="5" fillId="0" borderId="43" xfId="0" applyFont="1" applyBorder="1" applyAlignment="1" applyProtection="1">
      <alignment vertical="center" wrapText="1"/>
      <protection locked="0"/>
    </xf>
    <xf numFmtId="0" fontId="7" fillId="18" borderId="43" xfId="0" applyFont="1" applyFill="1" applyBorder="1" applyAlignment="1" applyProtection="1">
      <alignment vertical="center" wrapText="1"/>
    </xf>
    <xf numFmtId="0" fontId="5" fillId="0" borderId="75" xfId="0" applyFont="1" applyBorder="1" applyAlignment="1" applyProtection="1">
      <alignment vertical="center" wrapText="1"/>
      <protection locked="0"/>
    </xf>
    <xf numFmtId="0" fontId="5" fillId="0" borderId="42" xfId="0" applyFont="1" applyBorder="1" applyAlignment="1" applyProtection="1">
      <alignment vertical="center" wrapText="1"/>
      <protection locked="0"/>
    </xf>
    <xf numFmtId="0" fontId="5" fillId="0" borderId="53" xfId="0" applyNumberFormat="1" applyFont="1" applyFill="1" applyBorder="1" applyAlignment="1" applyProtection="1">
      <alignment vertical="center" wrapText="1"/>
      <protection locked="0"/>
    </xf>
    <xf numFmtId="0" fontId="5" fillId="0" borderId="9" xfId="0" applyNumberFormat="1" applyFont="1" applyFill="1" applyBorder="1" applyAlignment="1" applyProtection="1">
      <alignment vertical="center" wrapText="1"/>
      <protection locked="0"/>
    </xf>
    <xf numFmtId="165" fontId="41" fillId="0" borderId="44" xfId="0" applyNumberFormat="1" applyFont="1" applyBorder="1" applyAlignment="1" applyProtection="1">
      <alignment vertical="center" wrapText="1"/>
      <protection locked="0"/>
    </xf>
    <xf numFmtId="1" fontId="41" fillId="0" borderId="45" xfId="0" applyNumberFormat="1" applyFont="1" applyBorder="1" applyAlignment="1" applyProtection="1">
      <alignment vertical="center" wrapText="1"/>
      <protection locked="0"/>
    </xf>
    <xf numFmtId="0" fontId="76" fillId="0" borderId="21" xfId="0" applyFont="1" applyBorder="1" applyAlignment="1" applyProtection="1">
      <protection locked="0"/>
    </xf>
    <xf numFmtId="0" fontId="75" fillId="0" borderId="17" xfId="0" applyFont="1" applyBorder="1" applyAlignment="1" applyProtection="1">
      <protection locked="0"/>
    </xf>
    <xf numFmtId="0" fontId="75" fillId="0" borderId="18" xfId="0" applyFont="1" applyBorder="1" applyAlignment="1" applyProtection="1">
      <protection locked="0"/>
    </xf>
    <xf numFmtId="0" fontId="5" fillId="0" borderId="34" xfId="0" applyFont="1" applyBorder="1" applyAlignment="1" applyProtection="1">
      <alignment vertical="center" wrapText="1"/>
      <protection locked="0"/>
    </xf>
    <xf numFmtId="0" fontId="5" fillId="0" borderId="39" xfId="0" applyFont="1" applyBorder="1" applyAlignment="1" applyProtection="1">
      <alignment vertical="center" wrapText="1"/>
      <protection locked="0"/>
    </xf>
    <xf numFmtId="0" fontId="75" fillId="0" borderId="10" xfId="0" applyFont="1" applyBorder="1" applyAlignment="1" applyProtection="1">
      <protection locked="0"/>
    </xf>
    <xf numFmtId="0" fontId="75" fillId="0" borderId="0" xfId="0" applyFont="1" applyBorder="1" applyAlignment="1" applyProtection="1">
      <protection locked="0"/>
    </xf>
    <xf numFmtId="0" fontId="75" fillId="0" borderId="11" xfId="0" applyFont="1" applyBorder="1" applyAlignment="1" applyProtection="1">
      <protection locked="0"/>
    </xf>
    <xf numFmtId="0" fontId="5" fillId="0" borderId="12" xfId="0" applyFont="1" applyFill="1" applyBorder="1" applyAlignment="1" applyProtection="1">
      <alignment vertical="top"/>
      <protection locked="0"/>
    </xf>
    <xf numFmtId="0" fontId="5" fillId="0" borderId="14" xfId="0" applyFont="1" applyFill="1" applyBorder="1" applyAlignment="1" applyProtection="1">
      <alignment vertical="top"/>
      <protection locked="0"/>
    </xf>
    <xf numFmtId="0" fontId="5" fillId="0" borderId="13" xfId="0" applyFont="1" applyFill="1" applyBorder="1" applyAlignment="1" applyProtection="1">
      <alignment vertical="top"/>
      <protection locked="0"/>
    </xf>
    <xf numFmtId="0" fontId="5" fillId="0" borderId="40" xfId="0" applyFont="1" applyBorder="1" applyAlignment="1" applyProtection="1">
      <alignment vertical="center" wrapText="1"/>
      <protection locked="0"/>
    </xf>
    <xf numFmtId="0" fontId="75" fillId="0" borderId="12" xfId="0" applyFont="1" applyBorder="1" applyAlignment="1" applyProtection="1">
      <protection locked="0"/>
    </xf>
    <xf numFmtId="0" fontId="75" fillId="0" borderId="14" xfId="0" applyFont="1" applyBorder="1" applyAlignment="1" applyProtection="1">
      <protection locked="0"/>
    </xf>
    <xf numFmtId="0" fontId="75" fillId="0" borderId="13" xfId="0" applyFont="1" applyBorder="1" applyAlignment="1" applyProtection="1">
      <protection locked="0"/>
    </xf>
    <xf numFmtId="0" fontId="7" fillId="0" borderId="47" xfId="0" applyFont="1" applyFill="1" applyBorder="1" applyAlignment="1" applyProtection="1">
      <alignment vertical="center" wrapText="1"/>
      <protection locked="0"/>
    </xf>
    <xf numFmtId="0" fontId="7" fillId="0" borderId="43" xfId="0" applyFont="1" applyFill="1" applyBorder="1" applyAlignment="1" applyProtection="1">
      <alignment vertical="center" wrapText="1"/>
      <protection locked="0"/>
    </xf>
    <xf numFmtId="0" fontId="89" fillId="27" borderId="63" xfId="0" applyFont="1" applyFill="1" applyBorder="1" applyAlignment="1" applyProtection="1">
      <alignment vertical="top" wrapText="1"/>
      <protection locked="0"/>
    </xf>
    <xf numFmtId="0" fontId="89" fillId="27" borderId="55" xfId="0" applyFont="1" applyFill="1" applyBorder="1" applyAlignment="1" applyProtection="1">
      <alignment vertical="top" wrapText="1"/>
      <protection locked="0"/>
    </xf>
    <xf numFmtId="0" fontId="89" fillId="27" borderId="42" xfId="0" applyFont="1" applyFill="1" applyBorder="1" applyAlignment="1" applyProtection="1">
      <alignment vertical="top" wrapText="1"/>
      <protection locked="0"/>
    </xf>
    <xf numFmtId="0" fontId="5" fillId="0" borderId="12" xfId="0" applyNumberFormat="1" applyFont="1" applyFill="1" applyBorder="1" applyAlignment="1" applyProtection="1">
      <alignment vertical="center" wrapText="1"/>
      <protection locked="0"/>
    </xf>
    <xf numFmtId="0" fontId="5" fillId="0" borderId="66" xfId="0" applyNumberFormat="1" applyFont="1" applyFill="1" applyBorder="1" applyAlignment="1" applyProtection="1">
      <alignment vertical="center" wrapText="1"/>
      <protection locked="0"/>
    </xf>
    <xf numFmtId="165" fontId="41" fillId="0" borderId="61" xfId="0" applyNumberFormat="1" applyFont="1" applyBorder="1" applyAlignment="1" applyProtection="1">
      <alignment vertical="center" wrapText="1"/>
      <protection locked="0"/>
    </xf>
    <xf numFmtId="1" fontId="41" fillId="0" borderId="76" xfId="0" applyNumberFormat="1" applyFont="1" applyBorder="1" applyAlignment="1" applyProtection="1">
      <alignment vertical="center" wrapText="1"/>
      <protection locked="0"/>
    </xf>
    <xf numFmtId="0" fontId="8" fillId="19" borderId="49" xfId="0" applyFont="1" applyFill="1" applyBorder="1" applyAlignment="1" applyProtection="1"/>
    <xf numFmtId="0" fontId="13" fillId="0" borderId="57" xfId="0" applyFont="1" applyBorder="1" applyAlignment="1" applyProtection="1">
      <alignment vertical="top" wrapText="1"/>
    </xf>
    <xf numFmtId="0" fontId="5" fillId="19" borderId="47" xfId="0" applyFont="1" applyFill="1" applyBorder="1" applyAlignment="1" applyProtection="1">
      <alignment vertical="top"/>
      <protection locked="0"/>
    </xf>
    <xf numFmtId="0" fontId="5" fillId="19" borderId="49" xfId="0" applyFont="1" applyFill="1" applyBorder="1" applyAlignment="1" applyProtection="1">
      <alignment vertical="top"/>
      <protection locked="0"/>
    </xf>
    <xf numFmtId="0" fontId="5" fillId="19" borderId="43" xfId="0" applyFont="1" applyFill="1" applyBorder="1" applyAlignment="1" applyProtection="1">
      <alignment vertical="top"/>
      <protection locked="0"/>
    </xf>
    <xf numFmtId="0" fontId="5" fillId="19" borderId="21" xfId="0" applyFont="1" applyFill="1" applyBorder="1" applyAlignment="1" applyProtection="1">
      <alignment vertical="top" wrapText="1"/>
      <protection locked="0"/>
    </xf>
    <xf numFmtId="0" fontId="5" fillId="19" borderId="17" xfId="0" applyFont="1" applyFill="1" applyBorder="1" applyAlignment="1" applyProtection="1">
      <alignment vertical="top" wrapText="1"/>
      <protection locked="0"/>
    </xf>
    <xf numFmtId="0" fontId="5" fillId="19" borderId="18" xfId="0" applyFont="1" applyFill="1" applyBorder="1" applyAlignment="1" applyProtection="1">
      <alignment vertical="top" wrapText="1"/>
      <protection locked="0"/>
    </xf>
    <xf numFmtId="0" fontId="7" fillId="19" borderId="21" xfId="0" applyFont="1" applyFill="1" applyBorder="1" applyAlignment="1" applyProtection="1">
      <alignment vertical="top" wrapText="1"/>
    </xf>
    <xf numFmtId="0" fontId="7" fillId="19" borderId="17" xfId="0" applyFont="1" applyFill="1" applyBorder="1" applyAlignment="1" applyProtection="1">
      <alignment vertical="top" wrapText="1"/>
    </xf>
    <xf numFmtId="0" fontId="7" fillId="19" borderId="18" xfId="0" applyFont="1" applyFill="1" applyBorder="1" applyAlignment="1" applyProtection="1">
      <alignment vertical="top" wrapText="1"/>
    </xf>
    <xf numFmtId="0" fontId="26" fillId="18" borderId="47" xfId="0" applyFont="1" applyFill="1" applyBorder="1" applyAlignment="1" applyProtection="1">
      <alignment vertical="center"/>
    </xf>
    <xf numFmtId="0" fontId="26" fillId="18" borderId="49" xfId="0" applyFont="1" applyFill="1" applyBorder="1" applyAlignment="1" applyProtection="1">
      <alignment vertical="center"/>
    </xf>
    <xf numFmtId="0" fontId="26" fillId="18" borderId="43" xfId="0" applyFont="1" applyFill="1" applyBorder="1" applyAlignment="1" applyProtection="1">
      <alignment vertical="center"/>
    </xf>
    <xf numFmtId="0" fontId="5" fillId="19" borderId="10" xfId="0" applyFont="1" applyFill="1" applyBorder="1" applyAlignment="1" applyProtection="1">
      <alignment vertical="top" wrapText="1"/>
      <protection locked="0"/>
    </xf>
    <xf numFmtId="0" fontId="5" fillId="19" borderId="0" xfId="0" applyFont="1" applyFill="1" applyBorder="1" applyAlignment="1" applyProtection="1">
      <alignment vertical="top" wrapText="1"/>
      <protection locked="0"/>
    </xf>
    <xf numFmtId="0" fontId="5" fillId="19" borderId="11" xfId="0" applyFont="1" applyFill="1" applyBorder="1" applyAlignment="1" applyProtection="1">
      <alignment vertical="top" wrapText="1"/>
      <protection locked="0"/>
    </xf>
    <xf numFmtId="0" fontId="7" fillId="19" borderId="10" xfId="0" applyFont="1" applyFill="1" applyBorder="1" applyAlignment="1" applyProtection="1">
      <alignment vertical="top" wrapText="1"/>
    </xf>
    <xf numFmtId="0" fontId="7" fillId="19" borderId="0" xfId="0" applyFont="1" applyFill="1" applyBorder="1" applyAlignment="1" applyProtection="1">
      <alignment vertical="top" wrapText="1"/>
    </xf>
    <xf numFmtId="0" fontId="7" fillId="19" borderId="11" xfId="0" applyFont="1" applyFill="1" applyBorder="1" applyAlignment="1" applyProtection="1">
      <alignment vertical="top" wrapText="1"/>
    </xf>
    <xf numFmtId="0" fontId="5" fillId="0" borderId="47" xfId="0" applyFont="1" applyBorder="1" applyAlignment="1" applyProtection="1">
      <alignment vertical="top" wrapText="1"/>
      <protection locked="0"/>
    </xf>
    <xf numFmtId="0" fontId="5" fillId="0" borderId="49" xfId="0" applyFont="1" applyBorder="1" applyAlignment="1" applyProtection="1">
      <alignment vertical="top" wrapText="1"/>
      <protection locked="0"/>
    </xf>
    <xf numFmtId="0" fontId="5" fillId="0" borderId="43" xfId="0" applyFont="1" applyBorder="1" applyAlignment="1" applyProtection="1">
      <alignment vertical="top" wrapText="1"/>
      <protection locked="0"/>
    </xf>
    <xf numFmtId="0" fontId="7" fillId="26" borderId="47" xfId="0" applyFont="1" applyFill="1" applyBorder="1" applyAlignment="1" applyProtection="1">
      <alignment vertical="center" wrapText="1"/>
    </xf>
    <xf numFmtId="0" fontId="7" fillId="26" borderId="43" xfId="0" applyFont="1" applyFill="1" applyBorder="1" applyAlignment="1" applyProtection="1">
      <alignment vertical="center" wrapText="1"/>
    </xf>
    <xf numFmtId="0" fontId="4" fillId="18" borderId="21" xfId="0" applyFont="1" applyFill="1" applyBorder="1" applyAlignment="1" applyProtection="1">
      <alignment vertical="center" textRotation="90" wrapText="1"/>
    </xf>
    <xf numFmtId="0" fontId="4" fillId="18" borderId="65" xfId="0" applyFont="1" applyFill="1" applyBorder="1" applyAlignment="1" applyProtection="1">
      <alignment vertical="center" textRotation="90" wrapText="1"/>
    </xf>
    <xf numFmtId="0" fontId="5" fillId="0" borderId="77" xfId="0" applyFont="1" applyBorder="1" applyAlignment="1" applyProtection="1">
      <alignment vertical="center" wrapText="1"/>
      <protection locked="0"/>
    </xf>
    <xf numFmtId="0" fontId="5" fillId="0" borderId="56" xfId="0" applyFont="1" applyBorder="1" applyAlignment="1" applyProtection="1">
      <alignment vertical="center" wrapText="1"/>
      <protection locked="0"/>
    </xf>
    <xf numFmtId="0" fontId="7" fillId="19" borderId="12" xfId="0" applyFont="1" applyFill="1" applyBorder="1" applyAlignment="1" applyProtection="1">
      <alignment vertical="top" wrapText="1"/>
    </xf>
    <xf numFmtId="0" fontId="7" fillId="19" borderId="14" xfId="0" applyFont="1" applyFill="1" applyBorder="1" applyAlignment="1" applyProtection="1">
      <alignment vertical="top" wrapText="1"/>
    </xf>
    <xf numFmtId="0" fontId="7" fillId="19" borderId="13" xfId="0" applyFont="1" applyFill="1" applyBorder="1" applyAlignment="1" applyProtection="1">
      <alignment vertical="top" wrapText="1"/>
    </xf>
    <xf numFmtId="0" fontId="88" fillId="0" borderId="49" xfId="0" applyFont="1" applyBorder="1" applyAlignment="1" applyProtection="1">
      <alignment vertical="center" wrapText="1"/>
    </xf>
    <xf numFmtId="0" fontId="5" fillId="0" borderId="57" xfId="0" applyFont="1" applyBorder="1" applyAlignment="1" applyProtection="1">
      <alignment vertical="center" wrapText="1"/>
      <protection locked="0"/>
    </xf>
    <xf numFmtId="0" fontId="5" fillId="19" borderId="12" xfId="0" applyFont="1" applyFill="1" applyBorder="1" applyAlignment="1" applyProtection="1">
      <alignment vertical="top" wrapText="1"/>
      <protection locked="0"/>
    </xf>
    <xf numFmtId="0" fontId="5" fillId="19" borderId="14" xfId="0" applyFont="1" applyFill="1" applyBorder="1" applyAlignment="1" applyProtection="1">
      <alignment vertical="top" wrapText="1"/>
      <protection locked="0"/>
    </xf>
    <xf numFmtId="0" fontId="5" fillId="19" borderId="13" xfId="0" applyFont="1" applyFill="1" applyBorder="1" applyAlignment="1" applyProtection="1">
      <alignment vertical="top" wrapText="1"/>
      <protection locked="0"/>
    </xf>
    <xf numFmtId="0" fontId="10" fillId="18" borderId="65" xfId="0" applyFont="1" applyFill="1" applyBorder="1" applyAlignment="1" applyProtection="1">
      <alignment vertical="center" wrapText="1"/>
    </xf>
    <xf numFmtId="0" fontId="41" fillId="0" borderId="77" xfId="0" applyFont="1" applyBorder="1" applyAlignment="1" applyProtection="1">
      <alignment vertical="center" wrapText="1"/>
      <protection locked="0"/>
    </xf>
    <xf numFmtId="0" fontId="41" fillId="0" borderId="56" xfId="0" applyFont="1" applyBorder="1" applyAlignment="1" applyProtection="1">
      <alignment vertical="center" wrapText="1"/>
      <protection locked="0"/>
    </xf>
    <xf numFmtId="0" fontId="41" fillId="0" borderId="78" xfId="0" applyFont="1" applyBorder="1" applyAlignment="1" applyProtection="1">
      <alignment vertical="center" wrapText="1"/>
      <protection locked="0"/>
    </xf>
    <xf numFmtId="166" fontId="41" fillId="0" borderId="77" xfId="0" applyNumberFormat="1" applyFont="1" applyBorder="1" applyAlignment="1" applyProtection="1">
      <alignment vertical="center" wrapText="1"/>
      <protection locked="0"/>
    </xf>
    <xf numFmtId="166" fontId="41" fillId="0" borderId="78" xfId="0" applyNumberFormat="1" applyFont="1" applyBorder="1" applyAlignment="1" applyProtection="1">
      <alignment vertical="center" wrapText="1"/>
      <protection locked="0"/>
    </xf>
    <xf numFmtId="166" fontId="41" fillId="0" borderId="39" xfId="0" applyNumberFormat="1" applyFont="1" applyBorder="1" applyAlignment="1" applyProtection="1">
      <alignment vertical="center" wrapText="1"/>
      <protection locked="0"/>
    </xf>
    <xf numFmtId="0" fontId="41" fillId="0" borderId="2" xfId="0" applyFont="1" applyBorder="1" applyAlignment="1" applyProtection="1">
      <alignment vertical="center" wrapText="1"/>
      <protection locked="0"/>
    </xf>
    <xf numFmtId="0" fontId="0" fillId="0" borderId="3" xfId="0" applyBorder="1" applyAlignment="1"/>
    <xf numFmtId="0" fontId="0" fillId="0" borderId="4" xfId="0" applyBorder="1" applyAlignment="1"/>
    <xf numFmtId="166" fontId="41" fillId="0" borderId="2" xfId="0" applyNumberFormat="1" applyFont="1" applyBorder="1" applyAlignment="1" applyProtection="1">
      <alignment vertical="center" wrapText="1"/>
      <protection locked="0"/>
    </xf>
    <xf numFmtId="166" fontId="41" fillId="0" borderId="4" xfId="0" applyNumberFormat="1" applyFont="1" applyBorder="1" applyAlignment="1" applyProtection="1">
      <alignment vertical="center" wrapText="1"/>
      <protection locked="0"/>
    </xf>
    <xf numFmtId="166" fontId="41" fillId="0" borderId="41" xfId="0" applyNumberFormat="1" applyFont="1" applyBorder="1" applyAlignment="1" applyProtection="1">
      <alignment vertical="center" wrapText="1"/>
      <protection locked="0"/>
    </xf>
    <xf numFmtId="0" fontId="86" fillId="29" borderId="21" xfId="0" applyFont="1" applyFill="1" applyBorder="1" applyAlignment="1" applyProtection="1">
      <alignment vertical="top" wrapText="1"/>
    </xf>
    <xf numFmtId="0" fontId="86" fillId="29" borderId="17" xfId="0" applyFont="1" applyFill="1" applyBorder="1" applyAlignment="1" applyProtection="1">
      <alignment vertical="top" wrapText="1"/>
    </xf>
    <xf numFmtId="0" fontId="86" fillId="29" borderId="18" xfId="0" applyFont="1" applyFill="1" applyBorder="1" applyAlignment="1" applyProtection="1">
      <alignment vertical="top" wrapText="1"/>
    </xf>
    <xf numFmtId="0" fontId="0" fillId="0" borderId="7" xfId="0" applyBorder="1" applyAlignment="1"/>
    <xf numFmtId="0" fontId="0" fillId="0" borderId="8" xfId="0" applyBorder="1" applyAlignment="1"/>
    <xf numFmtId="0" fontId="0" fillId="0" borderId="9" xfId="0" applyBorder="1" applyAlignment="1"/>
    <xf numFmtId="166" fontId="41" fillId="0" borderId="79" xfId="0" applyNumberFormat="1" applyFont="1" applyBorder="1" applyAlignment="1" applyProtection="1">
      <alignment vertical="center" wrapText="1"/>
      <protection locked="0"/>
    </xf>
    <xf numFmtId="166" fontId="41" fillId="0" borderId="66" xfId="0" applyNumberFormat="1" applyFont="1" applyBorder="1" applyAlignment="1" applyProtection="1">
      <alignment vertical="center" wrapText="1"/>
      <protection locked="0"/>
    </xf>
    <xf numFmtId="166" fontId="41" fillId="0" borderId="13" xfId="0" applyNumberFormat="1" applyFont="1" applyBorder="1" applyAlignment="1" applyProtection="1">
      <alignment vertical="center" wrapText="1"/>
      <protection locked="0"/>
    </xf>
    <xf numFmtId="0" fontId="86" fillId="29" borderId="12" xfId="0" applyFont="1" applyFill="1" applyBorder="1" applyAlignment="1" applyProtection="1">
      <alignment vertical="top" wrapText="1"/>
    </xf>
    <xf numFmtId="0" fontId="86" fillId="29" borderId="14" xfId="0" applyFont="1" applyFill="1" applyBorder="1" applyAlignment="1" applyProtection="1">
      <alignment vertical="top" wrapText="1"/>
    </xf>
    <xf numFmtId="0" fontId="86" fillId="29" borderId="13" xfId="0" applyFont="1" applyFill="1" applyBorder="1" applyAlignment="1" applyProtection="1">
      <alignment vertical="top" wrapText="1"/>
    </xf>
    <xf numFmtId="0" fontId="5" fillId="18" borderId="47" xfId="0" applyFont="1" applyFill="1" applyBorder="1" applyAlignment="1" applyProtection="1">
      <alignment vertical="center" wrapText="1"/>
    </xf>
    <xf numFmtId="0" fontId="5" fillId="18" borderId="74" xfId="0" applyFont="1" applyFill="1" applyBorder="1" applyAlignment="1" applyProtection="1">
      <alignment vertical="center" wrapText="1"/>
    </xf>
    <xf numFmtId="14" fontId="5" fillId="0" borderId="60" xfId="0" applyNumberFormat="1" applyFont="1" applyBorder="1" applyAlignment="1" applyProtection="1">
      <alignment vertical="center" wrapText="1"/>
      <protection locked="0"/>
    </xf>
    <xf numFmtId="0" fontId="5" fillId="0" borderId="74" xfId="0" applyFont="1" applyBorder="1" applyAlignment="1" applyProtection="1">
      <alignment vertical="center" wrapText="1"/>
      <protection locked="0"/>
    </xf>
    <xf numFmtId="0" fontId="5" fillId="18" borderId="60" xfId="0" applyFont="1" applyFill="1" applyBorder="1" applyAlignment="1" applyProtection="1">
      <alignment vertical="center"/>
    </xf>
    <xf numFmtId="0" fontId="5" fillId="18" borderId="74" xfId="0" applyFont="1" applyFill="1" applyBorder="1" applyAlignment="1" applyProtection="1">
      <alignment vertical="center"/>
    </xf>
    <xf numFmtId="0" fontId="5" fillId="19" borderId="60" xfId="0" applyFont="1" applyFill="1" applyBorder="1" applyAlignment="1" applyProtection="1">
      <alignment vertical="center"/>
      <protection locked="0"/>
    </xf>
    <xf numFmtId="0" fontId="5" fillId="19" borderId="43" xfId="0" applyFont="1" applyFill="1" applyBorder="1" applyAlignment="1" applyProtection="1">
      <alignment vertical="center"/>
      <protection locked="0"/>
    </xf>
    <xf numFmtId="0" fontId="10" fillId="30" borderId="21" xfId="0" applyFont="1" applyFill="1" applyBorder="1"/>
    <xf numFmtId="0" fontId="10" fillId="30" borderId="17" xfId="0" applyFont="1" applyFill="1" applyBorder="1"/>
    <xf numFmtId="0" fontId="10" fillId="30" borderId="18" xfId="0" applyFont="1" applyFill="1" applyBorder="1"/>
    <xf numFmtId="0" fontId="10" fillId="30" borderId="10" xfId="0" applyFont="1" applyFill="1" applyBorder="1"/>
    <xf numFmtId="0" fontId="10" fillId="30" borderId="0" xfId="0" applyFont="1" applyFill="1" applyBorder="1"/>
    <xf numFmtId="0" fontId="10" fillId="30" borderId="11" xfId="0" applyFont="1" applyFill="1" applyBorder="1"/>
    <xf numFmtId="0" fontId="10" fillId="30" borderId="12" xfId="0" applyFont="1" applyFill="1" applyBorder="1"/>
    <xf numFmtId="0" fontId="10" fillId="30" borderId="14" xfId="0" applyFont="1" applyFill="1" applyBorder="1"/>
    <xf numFmtId="0" fontId="10" fillId="30" borderId="13" xfId="0" applyFont="1" applyFill="1" applyBorder="1"/>
    <xf numFmtId="0" fontId="10" fillId="30" borderId="10" xfId="0" applyFont="1" applyFill="1" applyBorder="1" applyAlignment="1">
      <alignment wrapText="1"/>
    </xf>
    <xf numFmtId="0" fontId="104" fillId="0" borderId="15" xfId="0" applyFont="1" applyBorder="1" applyAlignment="1">
      <alignment horizontal="center" vertical="center"/>
    </xf>
    <xf numFmtId="0" fontId="3" fillId="19" borderId="11" xfId="0" applyFont="1" applyFill="1" applyBorder="1" applyAlignment="1" applyProtection="1">
      <alignment horizontal="center" vertical="center"/>
    </xf>
    <xf numFmtId="0" fontId="13" fillId="19" borderId="0" xfId="0" applyFont="1" applyFill="1" applyBorder="1" applyProtection="1"/>
    <xf numFmtId="0" fontId="10" fillId="30" borderId="0" xfId="0" applyFont="1" applyFill="1" applyBorder="1" applyAlignment="1">
      <alignment wrapText="1"/>
    </xf>
    <xf numFmtId="0" fontId="5" fillId="0" borderId="61" xfId="0" applyFont="1" applyBorder="1" applyAlignment="1" applyProtection="1">
      <alignment horizontal="center" vertical="center" wrapText="1"/>
      <protection locked="0"/>
    </xf>
    <xf numFmtId="0" fontId="10" fillId="0" borderId="21" xfId="0" applyFont="1" applyBorder="1" applyAlignment="1" applyProtection="1">
      <alignment vertical="center"/>
      <protection locked="0"/>
    </xf>
    <xf numFmtId="0" fontId="12" fillId="0" borderId="17" xfId="0" applyFont="1" applyBorder="1" applyAlignment="1" applyProtection="1">
      <alignment vertical="center"/>
      <protection locked="0"/>
    </xf>
    <xf numFmtId="0" fontId="10" fillId="0" borderId="17" xfId="0" applyFont="1" applyBorder="1" applyAlignment="1" applyProtection="1">
      <alignment vertical="center"/>
      <protection locked="0"/>
    </xf>
    <xf numFmtId="0" fontId="10" fillId="0" borderId="18" xfId="0" applyFont="1" applyBorder="1" applyAlignment="1" applyProtection="1">
      <alignment vertical="center"/>
      <protection locked="0"/>
    </xf>
    <xf numFmtId="0" fontId="10" fillId="0" borderId="10" xfId="0" applyFont="1" applyBorder="1" applyProtection="1">
      <protection locked="0"/>
    </xf>
    <xf numFmtId="0" fontId="10" fillId="0" borderId="0" xfId="0" applyFont="1" applyBorder="1" applyProtection="1">
      <protection locked="0"/>
    </xf>
    <xf numFmtId="0" fontId="10" fillId="0" borderId="11" xfId="0" applyFont="1" applyBorder="1" applyProtection="1">
      <protection locked="0"/>
    </xf>
    <xf numFmtId="0" fontId="10" fillId="0" borderId="12" xfId="0" applyFont="1" applyBorder="1" applyProtection="1">
      <protection locked="0"/>
    </xf>
    <xf numFmtId="0" fontId="10" fillId="0" borderId="14" xfId="0" applyFont="1" applyBorder="1" applyProtection="1">
      <protection locked="0"/>
    </xf>
    <xf numFmtId="0" fontId="10" fillId="0" borderId="13" xfId="0" applyFont="1" applyBorder="1" applyProtection="1">
      <protection locked="0"/>
    </xf>
    <xf numFmtId="0" fontId="77" fillId="26" borderId="47" xfId="0" applyFont="1" applyFill="1" applyBorder="1" applyAlignment="1" applyProtection="1">
      <alignment horizontal="center" vertical="top" wrapText="1"/>
    </xf>
    <xf numFmtId="0" fontId="10" fillId="0" borderId="27" xfId="0" applyFont="1" applyBorder="1" applyProtection="1"/>
    <xf numFmtId="0" fontId="10" fillId="0" borderId="45" xfId="0" applyFont="1" applyBorder="1" applyProtection="1"/>
    <xf numFmtId="0" fontId="77" fillId="0" borderId="15" xfId="27" applyFont="1" applyBorder="1" applyAlignment="1">
      <alignment horizontal="center" vertical="center"/>
    </xf>
    <xf numFmtId="0" fontId="2" fillId="0" borderId="37" xfId="27" applyBorder="1"/>
    <xf numFmtId="0" fontId="107" fillId="0" borderId="0" xfId="0" applyFont="1"/>
    <xf numFmtId="167" fontId="14" fillId="31" borderId="12" xfId="0" applyNumberFormat="1" applyFont="1" applyFill="1" applyBorder="1" applyAlignment="1" applyProtection="1">
      <alignment horizontal="center"/>
    </xf>
    <xf numFmtId="0" fontId="7" fillId="18" borderId="2" xfId="0" applyFont="1" applyFill="1" applyBorder="1" applyAlignment="1" applyProtection="1">
      <alignment horizontal="center" vertical="center" wrapText="1"/>
    </xf>
    <xf numFmtId="0" fontId="26" fillId="18" borderId="24" xfId="0" applyFont="1" applyFill="1" applyBorder="1" applyAlignment="1" applyProtection="1">
      <alignment horizontal="center" vertical="center" wrapText="1"/>
    </xf>
    <xf numFmtId="0" fontId="5" fillId="0" borderId="1" xfId="0" applyFont="1" applyBorder="1" applyAlignment="1" applyProtection="1">
      <alignment horizontal="left" vertical="center" wrapText="1"/>
      <protection locked="0"/>
    </xf>
    <xf numFmtId="0" fontId="26" fillId="18" borderId="23" xfId="0" applyFont="1" applyFill="1" applyBorder="1" applyAlignment="1" applyProtection="1">
      <alignment horizontal="center" vertical="center" wrapText="1"/>
    </xf>
    <xf numFmtId="0" fontId="25" fillId="0" borderId="48" xfId="0" applyFont="1" applyBorder="1" applyAlignment="1" applyProtection="1">
      <alignment horizontal="center" vertical="center" wrapText="1"/>
      <protection locked="0"/>
    </xf>
    <xf numFmtId="14" fontId="41" fillId="0" borderId="48" xfId="0" applyNumberFormat="1" applyFont="1" applyBorder="1" applyAlignment="1" applyProtection="1">
      <alignment horizontal="center" vertical="center" wrapText="1"/>
      <protection locked="0"/>
    </xf>
    <xf numFmtId="1" fontId="41" fillId="0" borderId="27" xfId="0" applyNumberFormat="1" applyFont="1" applyBorder="1" applyAlignment="1" applyProtection="1">
      <alignment horizontal="center" vertical="center" wrapText="1"/>
      <protection locked="0"/>
    </xf>
    <xf numFmtId="0" fontId="6" fillId="18" borderId="1" xfId="0" applyFont="1" applyFill="1" applyBorder="1" applyAlignment="1" applyProtection="1">
      <alignment horizontal="center" vertical="center"/>
      <protection hidden="1"/>
    </xf>
    <xf numFmtId="0" fontId="6" fillId="18" borderId="25" xfId="0" applyFont="1" applyFill="1" applyBorder="1" applyAlignment="1" applyProtection="1">
      <alignment horizontal="center" vertical="center"/>
      <protection hidden="1"/>
    </xf>
    <xf numFmtId="0" fontId="7" fillId="19" borderId="30" xfId="0" applyFont="1" applyFill="1" applyBorder="1" applyAlignment="1" applyProtection="1">
      <alignment horizontal="center" vertical="center" wrapText="1"/>
    </xf>
    <xf numFmtId="0" fontId="7" fillId="19" borderId="80" xfId="0" applyFont="1" applyFill="1" applyBorder="1" applyAlignment="1" applyProtection="1">
      <alignment horizontal="center" vertical="center" wrapText="1"/>
    </xf>
    <xf numFmtId="0" fontId="10" fillId="0" borderId="0" xfId="0" applyFont="1" applyBorder="1" applyAlignment="1">
      <alignment vertical="center"/>
    </xf>
    <xf numFmtId="0" fontId="6" fillId="32" borderId="15" xfId="0" applyFont="1" applyFill="1" applyBorder="1" applyAlignment="1" applyProtection="1">
      <alignment horizontal="center" vertical="center" wrapText="1"/>
    </xf>
    <xf numFmtId="9" fontId="61" fillId="0" borderId="29" xfId="0" quotePrefix="1" applyNumberFormat="1" applyFont="1" applyBorder="1" applyAlignment="1" applyProtection="1">
      <alignment horizontal="center" vertical="top" wrapText="1"/>
    </xf>
    <xf numFmtId="0" fontId="6" fillId="19" borderId="54" xfId="0" applyFont="1" applyFill="1" applyBorder="1" applyAlignment="1" applyProtection="1">
      <alignment horizontal="center" vertical="center" wrapText="1"/>
    </xf>
    <xf numFmtId="0" fontId="6" fillId="19" borderId="33" xfId="0" applyFont="1" applyFill="1" applyBorder="1" applyAlignment="1" applyProtection="1">
      <alignment horizontal="center" vertical="center" wrapText="1"/>
    </xf>
    <xf numFmtId="0" fontId="6" fillId="32" borderId="54" xfId="0" applyFont="1" applyFill="1" applyBorder="1" applyAlignment="1" applyProtection="1">
      <alignment horizontal="center" vertical="center" wrapText="1"/>
    </xf>
    <xf numFmtId="0" fontId="108" fillId="19" borderId="15" xfId="0" applyFont="1" applyFill="1" applyBorder="1" applyAlignment="1" applyProtection="1">
      <alignment horizontal="center" vertical="center" wrapText="1"/>
    </xf>
    <xf numFmtId="0" fontId="108" fillId="19" borderId="33" xfId="0" applyFont="1" applyFill="1" applyBorder="1" applyAlignment="1" applyProtection="1">
      <alignment horizontal="center" vertical="center" wrapText="1"/>
    </xf>
    <xf numFmtId="0" fontId="108" fillId="32" borderId="15" xfId="0" applyFont="1" applyFill="1" applyBorder="1" applyAlignment="1" applyProtection="1">
      <alignment horizontal="center" vertical="center" wrapText="1"/>
    </xf>
    <xf numFmtId="0" fontId="27" fillId="0" borderId="17" xfId="0" applyFont="1" applyBorder="1" applyAlignment="1" applyProtection="1">
      <alignment horizontal="center" vertical="center"/>
    </xf>
    <xf numFmtId="0" fontId="27" fillId="0" borderId="18" xfId="0" applyFont="1" applyBorder="1" applyAlignment="1" applyProtection="1">
      <alignment horizontal="center" vertical="center"/>
    </xf>
    <xf numFmtId="0" fontId="5" fillId="18" borderId="60" xfId="0" applyFont="1" applyFill="1" applyBorder="1" applyAlignment="1" applyProtection="1">
      <alignment horizontal="center" vertical="center"/>
    </xf>
    <xf numFmtId="0" fontId="5" fillId="18" borderId="74" xfId="0" applyFont="1" applyFill="1" applyBorder="1" applyAlignment="1" applyProtection="1">
      <alignment horizontal="center" vertical="center"/>
    </xf>
    <xf numFmtId="0" fontId="5" fillId="18" borderId="47" xfId="0" applyFont="1" applyFill="1" applyBorder="1" applyAlignment="1" applyProtection="1">
      <alignment horizontal="center" vertical="center" wrapText="1"/>
    </xf>
    <xf numFmtId="0" fontId="5" fillId="18" borderId="74" xfId="0" applyFont="1" applyFill="1" applyBorder="1" applyAlignment="1" applyProtection="1">
      <alignment horizontal="center" vertical="center" wrapText="1"/>
    </xf>
    <xf numFmtId="14" fontId="5" fillId="0" borderId="60" xfId="0" applyNumberFormat="1" applyFont="1" applyBorder="1" applyAlignment="1" applyProtection="1">
      <alignment horizontal="center" vertical="center" wrapText="1"/>
      <protection locked="0"/>
    </xf>
    <xf numFmtId="0" fontId="5" fillId="0" borderId="49" xfId="0" applyFont="1" applyBorder="1" applyAlignment="1" applyProtection="1">
      <alignment horizontal="center" vertical="center" wrapText="1"/>
      <protection locked="0"/>
    </xf>
    <xf numFmtId="0" fontId="5" fillId="0" borderId="74" xfId="0" applyFont="1" applyBorder="1" applyAlignment="1" applyProtection="1">
      <alignment horizontal="center" vertical="center" wrapText="1"/>
      <protection locked="0"/>
    </xf>
    <xf numFmtId="0" fontId="61" fillId="18" borderId="31" xfId="0" applyFont="1" applyFill="1" applyBorder="1" applyAlignment="1" applyProtection="1">
      <alignment horizontal="left" vertical="center" wrapText="1"/>
    </xf>
    <xf numFmtId="0" fontId="61" fillId="18" borderId="77" xfId="0" applyFont="1" applyFill="1" applyBorder="1" applyAlignment="1" applyProtection="1">
      <alignment horizontal="left" vertical="center" wrapText="1"/>
    </xf>
    <xf numFmtId="0" fontId="8" fillId="0" borderId="0" xfId="0" applyFont="1" applyBorder="1" applyAlignment="1" applyProtection="1">
      <alignment horizontal="center" vertical="center" wrapText="1"/>
    </xf>
    <xf numFmtId="0" fontId="10" fillId="0" borderId="0" xfId="0" applyFont="1" applyBorder="1" applyAlignment="1" applyProtection="1">
      <alignment horizontal="center" vertical="center" wrapText="1"/>
    </xf>
    <xf numFmtId="0" fontId="10" fillId="0" borderId="0" xfId="0" applyFont="1" applyBorder="1" applyAlignment="1" applyProtection="1">
      <alignment horizontal="center" vertical="top" wrapText="1"/>
    </xf>
    <xf numFmtId="0" fontId="60" fillId="26" borderId="47" xfId="0" applyFont="1" applyFill="1" applyBorder="1" applyAlignment="1" applyProtection="1">
      <alignment horizontal="center" vertical="center"/>
    </xf>
    <xf numFmtId="0" fontId="60" fillId="26" borderId="49" xfId="0" applyFont="1" applyFill="1" applyBorder="1" applyAlignment="1" applyProtection="1">
      <alignment horizontal="center" vertical="center"/>
    </xf>
    <xf numFmtId="0" fontId="60" fillId="26" borderId="43" xfId="0" applyFont="1" applyFill="1" applyBorder="1" applyAlignment="1" applyProtection="1">
      <alignment horizontal="center" vertical="center"/>
    </xf>
    <xf numFmtId="0" fontId="30" fillId="26" borderId="21" xfId="0" applyFont="1" applyFill="1" applyBorder="1" applyAlignment="1" applyProtection="1">
      <alignment horizontal="center" wrapText="1"/>
    </xf>
    <xf numFmtId="0" fontId="30" fillId="26" borderId="17" xfId="0" applyFont="1" applyFill="1" applyBorder="1" applyAlignment="1" applyProtection="1">
      <alignment horizontal="center" wrapText="1"/>
    </xf>
    <xf numFmtId="0" fontId="61" fillId="18" borderId="21" xfId="0" applyFont="1" applyFill="1" applyBorder="1" applyAlignment="1" applyProtection="1">
      <alignment horizontal="left" vertical="center" wrapText="1"/>
    </xf>
    <xf numFmtId="0" fontId="61" fillId="18" borderId="17" xfId="0" applyFont="1" applyFill="1" applyBorder="1" applyAlignment="1" applyProtection="1">
      <alignment horizontal="left" vertical="center" wrapText="1"/>
    </xf>
    <xf numFmtId="0" fontId="5" fillId="19" borderId="60" xfId="0" applyFont="1" applyFill="1" applyBorder="1" applyAlignment="1" applyProtection="1">
      <alignment horizontal="center" vertical="center"/>
      <protection locked="0"/>
    </xf>
    <xf numFmtId="0" fontId="5" fillId="19" borderId="43" xfId="0" applyFont="1" applyFill="1" applyBorder="1" applyAlignment="1" applyProtection="1">
      <alignment horizontal="center" vertical="center"/>
      <protection locked="0"/>
    </xf>
    <xf numFmtId="0" fontId="61" fillId="18" borderId="31" xfId="0" applyFont="1" applyFill="1" applyBorder="1" applyAlignment="1" applyProtection="1">
      <alignment horizontal="left" vertical="top" wrapText="1"/>
    </xf>
    <xf numFmtId="0" fontId="61" fillId="18" borderId="77" xfId="0" applyFont="1" applyFill="1" applyBorder="1" applyAlignment="1" applyProtection="1">
      <alignment horizontal="left" vertical="top" wrapText="1"/>
    </xf>
    <xf numFmtId="0" fontId="41" fillId="0" borderId="56" xfId="0" applyFont="1" applyBorder="1" applyAlignment="1" applyProtection="1">
      <alignment horizontal="center" vertical="center" wrapText="1"/>
      <protection locked="0"/>
    </xf>
    <xf numFmtId="0" fontId="41" fillId="0" borderId="78" xfId="0" applyFont="1" applyBorder="1" applyAlignment="1" applyProtection="1">
      <alignment horizontal="center" vertical="center" wrapText="1"/>
      <protection locked="0"/>
    </xf>
    <xf numFmtId="166" fontId="41" fillId="0" borderId="77" xfId="0" applyNumberFormat="1" applyFont="1" applyBorder="1" applyAlignment="1" applyProtection="1">
      <alignment horizontal="center" vertical="center" wrapText="1"/>
      <protection locked="0"/>
    </xf>
    <xf numFmtId="166" fontId="41" fillId="0" borderId="78" xfId="0" applyNumberFormat="1" applyFont="1" applyBorder="1" applyAlignment="1" applyProtection="1">
      <alignment horizontal="center" vertical="center" wrapText="1"/>
      <protection locked="0"/>
    </xf>
    <xf numFmtId="0" fontId="89" fillId="27" borderId="60" xfId="0" applyFont="1" applyFill="1" applyBorder="1" applyAlignment="1" applyProtection="1">
      <alignment horizontal="left" vertical="center" wrapText="1"/>
    </xf>
    <xf numFmtId="0" fontId="89" fillId="27" borderId="49" xfId="0" applyFont="1" applyFill="1" applyBorder="1" applyAlignment="1" applyProtection="1">
      <alignment horizontal="left" vertical="center" wrapText="1"/>
    </xf>
    <xf numFmtId="0" fontId="89" fillId="27" borderId="43" xfId="0" applyFont="1" applyFill="1" applyBorder="1" applyAlignment="1" applyProtection="1">
      <alignment horizontal="left" vertical="center" wrapText="1"/>
    </xf>
    <xf numFmtId="0" fontId="5" fillId="0" borderId="26" xfId="0" applyFont="1" applyBorder="1" applyAlignment="1" applyProtection="1">
      <alignment horizontal="center" vertical="center" wrapText="1"/>
      <protection locked="0"/>
    </xf>
    <xf numFmtId="0" fontId="5" fillId="0" borderId="45" xfId="0" applyFont="1" applyBorder="1" applyAlignment="1" applyProtection="1">
      <alignment horizontal="center" vertical="center" wrapText="1"/>
      <protection locked="0"/>
    </xf>
    <xf numFmtId="165" fontId="41" fillId="0" borderId="48" xfId="0" applyNumberFormat="1" applyFont="1" applyBorder="1" applyAlignment="1" applyProtection="1">
      <alignment horizontal="center" vertical="center" wrapText="1"/>
      <protection locked="0"/>
    </xf>
    <xf numFmtId="165" fontId="41" fillId="0" borderId="44" xfId="0" applyNumberFormat="1" applyFont="1" applyBorder="1" applyAlignment="1" applyProtection="1">
      <alignment horizontal="center" vertical="center" wrapText="1"/>
      <protection locked="0"/>
    </xf>
    <xf numFmtId="0" fontId="5" fillId="0" borderId="48" xfId="0" applyFont="1" applyBorder="1" applyAlignment="1" applyProtection="1">
      <alignment horizontal="left" vertical="center" wrapText="1"/>
      <protection locked="0"/>
    </xf>
    <xf numFmtId="0" fontId="5" fillId="0" borderId="44" xfId="0" applyFont="1" applyBorder="1" applyAlignment="1" applyProtection="1">
      <alignment horizontal="left" vertical="center" wrapText="1"/>
      <protection locked="0"/>
    </xf>
    <xf numFmtId="0" fontId="5" fillId="0" borderId="48" xfId="0" applyFont="1" applyBorder="1" applyAlignment="1" applyProtection="1">
      <alignment horizontal="center" vertical="center" wrapText="1"/>
      <protection locked="0"/>
    </xf>
    <xf numFmtId="0" fontId="5" fillId="0" borderId="44" xfId="0" applyFont="1" applyBorder="1" applyAlignment="1" applyProtection="1">
      <alignment horizontal="center" vertical="center" wrapText="1"/>
      <protection locked="0"/>
    </xf>
    <xf numFmtId="1" fontId="41" fillId="0" borderId="73" xfId="0" applyNumberFormat="1" applyFont="1" applyBorder="1" applyAlignment="1" applyProtection="1">
      <alignment horizontal="center" vertical="center" wrapText="1"/>
      <protection locked="0"/>
    </xf>
    <xf numFmtId="1" fontId="41" fillId="0" borderId="45" xfId="0" applyNumberFormat="1" applyFont="1" applyBorder="1" applyAlignment="1" applyProtection="1">
      <alignment horizontal="center" vertical="center" wrapText="1"/>
      <protection locked="0"/>
    </xf>
    <xf numFmtId="0" fontId="5" fillId="0" borderId="47" xfId="0" applyFont="1" applyBorder="1" applyAlignment="1" applyProtection="1">
      <alignment horizontal="center" vertical="center" wrapText="1"/>
      <protection locked="0"/>
    </xf>
    <xf numFmtId="0" fontId="5" fillId="0" borderId="43" xfId="0" applyFont="1" applyBorder="1" applyAlignment="1" applyProtection="1">
      <alignment horizontal="center" vertical="center" wrapText="1"/>
      <protection locked="0"/>
    </xf>
    <xf numFmtId="0" fontId="7" fillId="18" borderId="47" xfId="0" applyFont="1" applyFill="1" applyBorder="1" applyAlignment="1" applyProtection="1">
      <alignment horizontal="center" vertical="center" wrapText="1"/>
    </xf>
    <xf numFmtId="0" fontId="7" fillId="18" borderId="49" xfId="0" applyFont="1" applyFill="1" applyBorder="1" applyAlignment="1" applyProtection="1">
      <alignment horizontal="center" vertical="center" wrapText="1"/>
    </xf>
    <xf numFmtId="0" fontId="24" fillId="26" borderId="17" xfId="0" applyFont="1" applyFill="1" applyBorder="1" applyAlignment="1" applyProtection="1">
      <alignment horizontal="center" vertical="center"/>
    </xf>
    <xf numFmtId="0" fontId="24" fillId="26" borderId="18" xfId="0" applyFont="1" applyFill="1" applyBorder="1" applyAlignment="1" applyProtection="1">
      <alignment horizontal="center" vertical="center"/>
    </xf>
    <xf numFmtId="0" fontId="7" fillId="18" borderId="21" xfId="0" applyFont="1" applyFill="1" applyBorder="1" applyAlignment="1" applyProtection="1">
      <alignment horizontal="center" vertical="center" wrapText="1"/>
    </xf>
    <xf numFmtId="0" fontId="7" fillId="18" borderId="18" xfId="0" applyFont="1" applyFill="1" applyBorder="1" applyAlignment="1" applyProtection="1">
      <alignment horizontal="center" vertical="center" wrapText="1"/>
    </xf>
    <xf numFmtId="0" fontId="7" fillId="18" borderId="12" xfId="0" applyFont="1" applyFill="1" applyBorder="1" applyAlignment="1" applyProtection="1">
      <alignment horizontal="center" vertical="center" wrapText="1"/>
    </xf>
    <xf numFmtId="0" fontId="7" fillId="18" borderId="13" xfId="0" applyFont="1" applyFill="1" applyBorder="1" applyAlignment="1" applyProtection="1">
      <alignment horizontal="center" vertical="center" wrapText="1"/>
    </xf>
    <xf numFmtId="0" fontId="26" fillId="18" borderId="23" xfId="0" applyFont="1" applyFill="1" applyBorder="1" applyAlignment="1" applyProtection="1">
      <alignment horizontal="center" vertical="center"/>
    </xf>
    <xf numFmtId="0" fontId="26" fillId="18" borderId="1" xfId="0" applyFont="1" applyFill="1" applyBorder="1" applyAlignment="1" applyProtection="1">
      <alignment horizontal="center" vertical="center"/>
    </xf>
    <xf numFmtId="0" fontId="27" fillId="0" borderId="47" xfId="0" applyFont="1" applyFill="1" applyBorder="1" applyAlignment="1" applyProtection="1">
      <alignment horizontal="center" vertical="center"/>
      <protection locked="0"/>
    </xf>
    <xf numFmtId="0" fontId="27" fillId="0" borderId="49" xfId="0" applyFont="1" applyFill="1" applyBorder="1" applyAlignment="1" applyProtection="1">
      <alignment horizontal="center" vertical="center"/>
      <protection locked="0"/>
    </xf>
    <xf numFmtId="0" fontId="27" fillId="0" borderId="43" xfId="0" applyFont="1" applyFill="1" applyBorder="1" applyAlignment="1" applyProtection="1">
      <alignment horizontal="center" vertical="center"/>
      <protection locked="0"/>
    </xf>
    <xf numFmtId="0" fontId="24" fillId="26" borderId="49" xfId="0" applyFont="1" applyFill="1" applyBorder="1" applyAlignment="1" applyProtection="1">
      <alignment horizontal="center" vertical="center" wrapText="1"/>
    </xf>
    <xf numFmtId="0" fontId="24" fillId="26" borderId="43" xfId="0" applyFont="1" applyFill="1" applyBorder="1" applyAlignment="1" applyProtection="1">
      <alignment horizontal="center" vertical="center" wrapText="1"/>
    </xf>
    <xf numFmtId="0" fontId="106" fillId="26" borderId="49" xfId="0" applyFont="1" applyFill="1" applyBorder="1" applyAlignment="1" applyProtection="1">
      <alignment horizontal="center" vertical="center"/>
    </xf>
    <xf numFmtId="0" fontId="106" fillId="26" borderId="43" xfId="0" applyFont="1" applyFill="1" applyBorder="1" applyAlignment="1" applyProtection="1">
      <alignment horizontal="center" vertical="center"/>
    </xf>
    <xf numFmtId="0" fontId="26" fillId="18" borderId="24" xfId="0" applyFont="1" applyFill="1" applyBorder="1" applyAlignment="1" applyProtection="1">
      <alignment horizontal="center" vertical="center" wrapText="1"/>
    </xf>
    <xf numFmtId="0" fontId="26" fillId="18" borderId="25" xfId="0" applyFont="1" applyFill="1" applyBorder="1" applyAlignment="1" applyProtection="1">
      <alignment horizontal="center" vertical="center" wrapText="1"/>
    </xf>
    <xf numFmtId="0" fontId="5" fillId="0" borderId="31" xfId="0" applyNumberFormat="1" applyFont="1" applyFill="1" applyBorder="1" applyAlignment="1" applyProtection="1">
      <alignment horizontal="center" vertical="center" wrapText="1"/>
      <protection locked="0"/>
    </xf>
    <xf numFmtId="0" fontId="5" fillId="0" borderId="1" xfId="0" applyNumberFormat="1" applyFont="1" applyFill="1" applyBorder="1" applyAlignment="1" applyProtection="1">
      <alignment horizontal="center" vertical="center" wrapText="1"/>
      <protection locked="0"/>
    </xf>
    <xf numFmtId="0" fontId="5" fillId="18" borderId="21" xfId="0" applyFont="1" applyFill="1" applyBorder="1" applyAlignment="1" applyProtection="1">
      <alignment horizontal="center" vertical="center" textRotation="90" wrapText="1"/>
    </xf>
    <xf numFmtId="0" fontId="5" fillId="18" borderId="65" xfId="0" applyFont="1" applyFill="1" applyBorder="1" applyAlignment="1" applyProtection="1">
      <alignment horizontal="center" vertical="center" textRotation="90" wrapText="1"/>
    </xf>
    <xf numFmtId="0" fontId="5" fillId="18" borderId="10" xfId="0" applyFont="1" applyFill="1" applyBorder="1" applyAlignment="1" applyProtection="1">
      <alignment horizontal="center" vertical="center" textRotation="90" wrapText="1"/>
    </xf>
    <xf numFmtId="0" fontId="5" fillId="18" borderId="6" xfId="0" applyFont="1" applyFill="1" applyBorder="1" applyAlignment="1" applyProtection="1">
      <alignment horizontal="center" vertical="center" textRotation="90" wrapText="1"/>
    </xf>
    <xf numFmtId="0" fontId="5" fillId="18" borderId="12" xfId="0" applyFont="1" applyFill="1" applyBorder="1" applyAlignment="1" applyProtection="1">
      <alignment horizontal="center" vertical="center" textRotation="90" wrapText="1"/>
    </xf>
    <xf numFmtId="0" fontId="5" fillId="18" borderId="66" xfId="0" applyFont="1" applyFill="1" applyBorder="1" applyAlignment="1" applyProtection="1">
      <alignment horizontal="center" vertical="center" textRotation="90" wrapText="1"/>
    </xf>
    <xf numFmtId="0" fontId="61" fillId="18" borderId="32" xfId="0" applyFont="1" applyFill="1" applyBorder="1" applyAlignment="1" applyProtection="1">
      <alignment horizontal="left" vertical="top" wrapText="1"/>
    </xf>
    <xf numFmtId="0" fontId="61" fillId="18" borderId="38" xfId="0" applyFont="1" applyFill="1" applyBorder="1" applyAlignment="1" applyProtection="1">
      <alignment horizontal="left" vertical="top" wrapText="1"/>
    </xf>
    <xf numFmtId="14" fontId="43" fillId="26" borderId="47" xfId="0" applyNumberFormat="1" applyFont="1" applyFill="1" applyBorder="1" applyAlignment="1" applyProtection="1">
      <alignment horizontal="center" vertical="center" wrapText="1"/>
    </xf>
    <xf numFmtId="14" fontId="43" fillId="26" borderId="49" xfId="0" applyNumberFormat="1" applyFont="1" applyFill="1" applyBorder="1" applyAlignment="1" applyProtection="1">
      <alignment horizontal="center" vertical="center" wrapText="1"/>
    </xf>
    <xf numFmtId="14" fontId="43" fillId="26" borderId="43" xfId="0" applyNumberFormat="1" applyFont="1" applyFill="1" applyBorder="1" applyAlignment="1" applyProtection="1">
      <alignment horizontal="center" vertical="center" wrapText="1"/>
    </xf>
    <xf numFmtId="165" fontId="41" fillId="0" borderId="61" xfId="0" applyNumberFormat="1" applyFont="1" applyBorder="1" applyAlignment="1" applyProtection="1">
      <alignment horizontal="center" vertical="center" wrapText="1"/>
      <protection locked="0"/>
    </xf>
    <xf numFmtId="0" fontId="5" fillId="0" borderId="61" xfId="0" applyFont="1" applyBorder="1" applyAlignment="1" applyProtection="1">
      <alignment horizontal="center" vertical="center" wrapText="1"/>
      <protection locked="0"/>
    </xf>
    <xf numFmtId="0" fontId="89" fillId="27" borderId="23" xfId="0" applyFont="1" applyFill="1" applyBorder="1" applyAlignment="1" applyProtection="1">
      <alignment horizontal="left" vertical="center" wrapText="1"/>
    </xf>
    <xf numFmtId="0" fontId="89" fillId="27" borderId="24" xfId="0" applyFont="1" applyFill="1" applyBorder="1" applyAlignment="1" applyProtection="1">
      <alignment horizontal="left" vertical="center" wrapText="1"/>
    </xf>
    <xf numFmtId="0" fontId="24" fillId="26" borderId="49" xfId="0" applyFont="1" applyFill="1" applyBorder="1" applyAlignment="1" applyProtection="1">
      <alignment horizontal="center" vertical="center"/>
    </xf>
    <xf numFmtId="0" fontId="24" fillId="26" borderId="43" xfId="0" applyFont="1" applyFill="1" applyBorder="1" applyAlignment="1" applyProtection="1">
      <alignment horizontal="center" vertical="center"/>
    </xf>
    <xf numFmtId="0" fontId="89" fillId="27" borderId="60" xfId="0" applyFont="1" applyFill="1" applyBorder="1" applyAlignment="1" applyProtection="1">
      <alignment vertical="center" wrapText="1"/>
    </xf>
    <xf numFmtId="0" fontId="89" fillId="27" borderId="49" xfId="0" applyFont="1" applyFill="1" applyBorder="1" applyAlignment="1" applyProtection="1">
      <alignment vertical="center" wrapText="1"/>
    </xf>
    <xf numFmtId="0" fontId="89" fillId="27" borderId="43" xfId="0" applyFont="1" applyFill="1" applyBorder="1" applyAlignment="1" applyProtection="1">
      <alignment vertical="center" wrapText="1"/>
    </xf>
    <xf numFmtId="0" fontId="7" fillId="19" borderId="21" xfId="0" applyFont="1" applyFill="1" applyBorder="1" applyAlignment="1" applyProtection="1">
      <alignment horizontal="left" vertical="top" wrapText="1"/>
    </xf>
    <xf numFmtId="0" fontId="7" fillId="19" borderId="17" xfId="0" applyFont="1" applyFill="1" applyBorder="1" applyAlignment="1" applyProtection="1">
      <alignment horizontal="left" vertical="top" wrapText="1"/>
    </xf>
    <xf numFmtId="0" fontId="7" fillId="19" borderId="18" xfId="0" applyFont="1" applyFill="1" applyBorder="1" applyAlignment="1" applyProtection="1">
      <alignment horizontal="left" vertical="top" wrapText="1"/>
    </xf>
    <xf numFmtId="0" fontId="7" fillId="19" borderId="10" xfId="0" applyFont="1" applyFill="1" applyBorder="1" applyAlignment="1" applyProtection="1">
      <alignment horizontal="left" vertical="top" wrapText="1"/>
    </xf>
    <xf numFmtId="0" fontId="7" fillId="19" borderId="0" xfId="0" applyFont="1" applyFill="1" applyBorder="1" applyAlignment="1" applyProtection="1">
      <alignment horizontal="left" vertical="top" wrapText="1"/>
    </xf>
    <xf numFmtId="0" fontId="7" fillId="19" borderId="11" xfId="0" applyFont="1" applyFill="1" applyBorder="1" applyAlignment="1" applyProtection="1">
      <alignment horizontal="left" vertical="top" wrapText="1"/>
    </xf>
    <xf numFmtId="0" fontId="7" fillId="19" borderId="12" xfId="0" applyFont="1" applyFill="1" applyBorder="1" applyAlignment="1" applyProtection="1">
      <alignment horizontal="left" vertical="top" wrapText="1"/>
    </xf>
    <xf numFmtId="0" fontId="7" fillId="19" borderId="14" xfId="0" applyFont="1" applyFill="1" applyBorder="1" applyAlignment="1" applyProtection="1">
      <alignment horizontal="left" vertical="top" wrapText="1"/>
    </xf>
    <xf numFmtId="0" fontId="7" fillId="19" borderId="13" xfId="0" applyFont="1" applyFill="1" applyBorder="1" applyAlignment="1" applyProtection="1">
      <alignment horizontal="left" vertical="top" wrapText="1"/>
    </xf>
    <xf numFmtId="0" fontId="5" fillId="0" borderId="61" xfId="0" applyFont="1" applyBorder="1" applyAlignment="1" applyProtection="1">
      <alignment horizontal="left" vertical="center" wrapText="1"/>
      <protection locked="0"/>
    </xf>
    <xf numFmtId="1" fontId="41" fillId="0" borderId="76" xfId="0" applyNumberFormat="1" applyFont="1" applyBorder="1" applyAlignment="1" applyProtection="1">
      <alignment horizontal="center" vertical="center" wrapText="1"/>
      <protection locked="0"/>
    </xf>
    <xf numFmtId="0" fontId="5" fillId="19" borderId="21" xfId="0" applyFont="1" applyFill="1" applyBorder="1" applyAlignment="1" applyProtection="1">
      <alignment horizontal="left" vertical="top" wrapText="1"/>
      <protection locked="0"/>
    </xf>
    <xf numFmtId="0" fontId="5" fillId="19" borderId="17" xfId="0" applyFont="1" applyFill="1" applyBorder="1" applyAlignment="1" applyProtection="1">
      <alignment horizontal="left" vertical="top" wrapText="1"/>
      <protection locked="0"/>
    </xf>
    <xf numFmtId="0" fontId="5" fillId="19" borderId="18" xfId="0" applyFont="1" applyFill="1" applyBorder="1" applyAlignment="1" applyProtection="1">
      <alignment horizontal="left" vertical="top" wrapText="1"/>
      <protection locked="0"/>
    </xf>
    <xf numFmtId="0" fontId="5" fillId="19" borderId="10" xfId="0" applyFont="1" applyFill="1" applyBorder="1" applyAlignment="1" applyProtection="1">
      <alignment horizontal="left" vertical="top" wrapText="1"/>
      <protection locked="0"/>
    </xf>
    <xf numFmtId="0" fontId="5" fillId="19" borderId="0" xfId="0" applyFont="1" applyFill="1" applyBorder="1" applyAlignment="1" applyProtection="1">
      <alignment horizontal="left" vertical="top" wrapText="1"/>
      <protection locked="0"/>
    </xf>
    <xf numFmtId="0" fontId="5" fillId="19" borderId="11" xfId="0" applyFont="1" applyFill="1" applyBorder="1" applyAlignment="1" applyProtection="1">
      <alignment horizontal="left" vertical="top" wrapText="1"/>
      <protection locked="0"/>
    </xf>
    <xf numFmtId="0" fontId="5" fillId="19" borderId="12" xfId="0" applyFont="1" applyFill="1" applyBorder="1" applyAlignment="1" applyProtection="1">
      <alignment horizontal="left" vertical="top" wrapText="1"/>
      <protection locked="0"/>
    </xf>
    <xf numFmtId="0" fontId="5" fillId="19" borderId="14" xfId="0" applyFont="1" applyFill="1" applyBorder="1" applyAlignment="1" applyProtection="1">
      <alignment horizontal="left" vertical="top" wrapText="1"/>
      <protection locked="0"/>
    </xf>
    <xf numFmtId="0" fontId="5" fillId="19" borderId="13" xfId="0" applyFont="1" applyFill="1" applyBorder="1" applyAlignment="1" applyProtection="1">
      <alignment horizontal="left" vertical="top" wrapText="1"/>
      <protection locked="0"/>
    </xf>
    <xf numFmtId="0" fontId="88" fillId="0" borderId="49" xfId="0" applyFont="1" applyBorder="1" applyAlignment="1" applyProtection="1">
      <alignment horizontal="center" vertical="center" wrapText="1"/>
    </xf>
    <xf numFmtId="0" fontId="86" fillId="29" borderId="21" xfId="0" applyFont="1" applyFill="1" applyBorder="1" applyAlignment="1" applyProtection="1">
      <alignment horizontal="center" vertical="top" wrapText="1"/>
    </xf>
    <xf numFmtId="0" fontId="86" fillId="29" borderId="17" xfId="0" applyFont="1" applyFill="1" applyBorder="1" applyAlignment="1" applyProtection="1">
      <alignment horizontal="center" vertical="top" wrapText="1"/>
    </xf>
    <xf numFmtId="0" fontId="86" fillId="29" borderId="18" xfId="0" applyFont="1" applyFill="1" applyBorder="1" applyAlignment="1" applyProtection="1">
      <alignment horizontal="center" vertical="top" wrapText="1"/>
    </xf>
    <xf numFmtId="0" fontId="86" fillId="29" borderId="12" xfId="0" applyFont="1" applyFill="1" applyBorder="1" applyAlignment="1" applyProtection="1">
      <alignment horizontal="center" vertical="top" wrapText="1"/>
    </xf>
    <xf numFmtId="0" fontId="86" fillId="29" borderId="14" xfId="0" applyFont="1" applyFill="1" applyBorder="1" applyAlignment="1" applyProtection="1">
      <alignment horizontal="center" vertical="top" wrapText="1"/>
    </xf>
    <xf numFmtId="0" fontId="86" fillId="29" borderId="13" xfId="0" applyFont="1" applyFill="1" applyBorder="1" applyAlignment="1" applyProtection="1">
      <alignment horizontal="center" vertical="top" wrapText="1"/>
    </xf>
    <xf numFmtId="0" fontId="5" fillId="0" borderId="12" xfId="0" applyFont="1" applyBorder="1" applyAlignment="1" applyProtection="1">
      <alignment horizontal="center" vertical="center" wrapText="1"/>
      <protection locked="0"/>
    </xf>
    <xf numFmtId="0" fontId="5" fillId="0" borderId="66" xfId="0" applyFont="1" applyBorder="1" applyAlignment="1" applyProtection="1">
      <alignment horizontal="center" vertical="center" wrapText="1"/>
      <protection locked="0"/>
    </xf>
    <xf numFmtId="0" fontId="7" fillId="18" borderId="65" xfId="0" applyFont="1" applyFill="1" applyBorder="1" applyAlignment="1" applyProtection="1">
      <alignment horizontal="center" vertical="center" wrapText="1"/>
    </xf>
    <xf numFmtId="0" fontId="7" fillId="18" borderId="66" xfId="0" applyFont="1" applyFill="1" applyBorder="1" applyAlignment="1" applyProtection="1">
      <alignment horizontal="center" vertical="center" wrapText="1"/>
    </xf>
    <xf numFmtId="0" fontId="5" fillId="0" borderId="79" xfId="0" applyFont="1" applyBorder="1" applyAlignment="1" applyProtection="1">
      <alignment horizontal="center" vertical="center" wrapText="1"/>
      <protection locked="0"/>
    </xf>
    <xf numFmtId="14" fontId="5" fillId="31" borderId="61" xfId="0" applyNumberFormat="1" applyFont="1" applyFill="1" applyBorder="1" applyAlignment="1" applyProtection="1">
      <alignment horizontal="center" vertical="center" wrapText="1"/>
      <protection locked="0"/>
    </xf>
    <xf numFmtId="14" fontId="5" fillId="31" borderId="76" xfId="0" applyNumberFormat="1" applyFont="1" applyFill="1" applyBorder="1" applyAlignment="1" applyProtection="1">
      <alignment horizontal="center" vertical="center" wrapText="1"/>
      <protection locked="0"/>
    </xf>
    <xf numFmtId="0" fontId="6" fillId="18" borderId="21" xfId="0" applyFont="1" applyFill="1" applyBorder="1" applyAlignment="1" applyProtection="1">
      <alignment horizontal="center" vertical="center" wrapText="1"/>
    </xf>
    <xf numFmtId="0" fontId="6" fillId="18" borderId="17" xfId="0" applyFont="1" applyFill="1" applyBorder="1" applyAlignment="1" applyProtection="1">
      <alignment horizontal="center" vertical="center" wrapText="1"/>
    </xf>
    <xf numFmtId="0" fontId="26" fillId="18" borderId="22" xfId="0" applyFont="1" applyFill="1" applyBorder="1" applyAlignment="1" applyProtection="1">
      <alignment horizontal="center" vertical="center" wrapText="1"/>
    </xf>
    <xf numFmtId="0" fontId="26" fillId="18" borderId="23" xfId="0" applyFont="1" applyFill="1" applyBorder="1" applyAlignment="1" applyProtection="1">
      <alignment horizontal="center" vertical="center" wrapText="1"/>
    </xf>
    <xf numFmtId="0" fontId="26" fillId="18" borderId="31" xfId="0" applyFont="1" applyFill="1" applyBorder="1" applyAlignment="1" applyProtection="1">
      <alignment horizontal="center" vertical="center" wrapText="1"/>
    </xf>
    <xf numFmtId="0" fontId="26" fillId="18" borderId="1" xfId="0" applyFont="1" applyFill="1" applyBorder="1" applyAlignment="1" applyProtection="1">
      <alignment horizontal="center" vertical="center" wrapText="1"/>
    </xf>
    <xf numFmtId="0" fontId="5" fillId="0" borderId="21" xfId="0" applyFont="1" applyFill="1" applyBorder="1" applyAlignment="1" applyProtection="1">
      <alignment horizontal="left" vertical="top"/>
      <protection locked="0"/>
    </xf>
    <xf numFmtId="0" fontId="5" fillId="0" borderId="17" xfId="0" applyFont="1" applyFill="1" applyBorder="1" applyAlignment="1" applyProtection="1">
      <alignment horizontal="left" vertical="top"/>
      <protection locked="0"/>
    </xf>
    <xf numFmtId="0" fontId="5" fillId="0" borderId="18" xfId="0" applyFont="1" applyFill="1" applyBorder="1" applyAlignment="1" applyProtection="1">
      <alignment horizontal="left" vertical="top"/>
      <protection locked="0"/>
    </xf>
    <xf numFmtId="0" fontId="5" fillId="0" borderId="10" xfId="0" applyFont="1" applyFill="1" applyBorder="1" applyAlignment="1" applyProtection="1">
      <alignment horizontal="left" vertical="top"/>
      <protection locked="0"/>
    </xf>
    <xf numFmtId="0" fontId="5" fillId="0" borderId="0" xfId="0" applyFont="1" applyFill="1" applyBorder="1" applyAlignment="1" applyProtection="1">
      <alignment horizontal="left" vertical="top"/>
      <protection locked="0"/>
    </xf>
    <xf numFmtId="0" fontId="5" fillId="0" borderId="11" xfId="0" applyFont="1" applyFill="1" applyBorder="1" applyAlignment="1" applyProtection="1">
      <alignment horizontal="left" vertical="top"/>
      <protection locked="0"/>
    </xf>
    <xf numFmtId="0" fontId="5" fillId="0" borderId="12" xfId="0" applyFont="1" applyFill="1" applyBorder="1" applyAlignment="1" applyProtection="1">
      <alignment horizontal="left" vertical="top"/>
      <protection locked="0"/>
    </xf>
    <xf numFmtId="0" fontId="5" fillId="0" borderId="14" xfId="0" applyFont="1" applyFill="1" applyBorder="1" applyAlignment="1" applyProtection="1">
      <alignment horizontal="left" vertical="top"/>
      <protection locked="0"/>
    </xf>
    <xf numFmtId="0" fontId="5" fillId="0" borderId="13" xfId="0" applyFont="1" applyFill="1" applyBorder="1" applyAlignment="1" applyProtection="1">
      <alignment horizontal="left" vertical="top"/>
      <protection locked="0"/>
    </xf>
    <xf numFmtId="0" fontId="7" fillId="18" borderId="17" xfId="0" applyFont="1" applyFill="1" applyBorder="1" applyAlignment="1" applyProtection="1">
      <alignment horizontal="center" vertical="center" wrapText="1"/>
    </xf>
    <xf numFmtId="0" fontId="5" fillId="0" borderId="81" xfId="0" applyFont="1" applyBorder="1" applyAlignment="1" applyProtection="1">
      <alignment horizontal="center" vertical="center" wrapText="1"/>
      <protection locked="0"/>
    </xf>
    <xf numFmtId="0" fontId="5" fillId="0" borderId="67" xfId="0" applyFont="1" applyBorder="1" applyAlignment="1" applyProtection="1">
      <alignment horizontal="center" vertical="center" wrapText="1"/>
      <protection locked="0"/>
    </xf>
    <xf numFmtId="0" fontId="7" fillId="18" borderId="43" xfId="0" applyFont="1" applyFill="1" applyBorder="1" applyAlignment="1" applyProtection="1">
      <alignment horizontal="center" vertical="center" wrapText="1"/>
    </xf>
    <xf numFmtId="0" fontId="7" fillId="0" borderId="47" xfId="0" applyFont="1" applyFill="1" applyBorder="1" applyAlignment="1" applyProtection="1">
      <alignment horizontal="center" vertical="center" wrapText="1"/>
      <protection locked="0"/>
    </xf>
    <xf numFmtId="0" fontId="7" fillId="0" borderId="43" xfId="0" applyFont="1" applyFill="1" applyBorder="1" applyAlignment="1" applyProtection="1">
      <alignment horizontal="center" vertical="center" wrapText="1"/>
      <protection locked="0"/>
    </xf>
    <xf numFmtId="0" fontId="13" fillId="0" borderId="0" xfId="0" applyFont="1" applyBorder="1" applyAlignment="1" applyProtection="1">
      <alignment horizontal="left" vertical="top" wrapText="1"/>
    </xf>
    <xf numFmtId="0" fontId="5" fillId="0" borderId="1" xfId="0" applyFont="1" applyBorder="1" applyAlignment="1" applyProtection="1">
      <alignment horizontal="left" vertical="center" wrapText="1"/>
      <protection locked="0"/>
    </xf>
    <xf numFmtId="0" fontId="5" fillId="0" borderId="77" xfId="0" applyFont="1" applyBorder="1" applyAlignment="1" applyProtection="1">
      <alignment horizontal="left" vertical="center" wrapText="1"/>
      <protection locked="0"/>
    </xf>
    <xf numFmtId="0" fontId="5" fillId="0" borderId="25" xfId="0" applyFont="1" applyBorder="1" applyAlignment="1" applyProtection="1">
      <alignment horizontal="left" vertical="center" wrapText="1"/>
      <protection locked="0"/>
    </xf>
    <xf numFmtId="0" fontId="0" fillId="26" borderId="49" xfId="0" applyFill="1" applyBorder="1" applyAlignment="1" applyProtection="1">
      <alignment horizontal="center" vertical="center"/>
    </xf>
    <xf numFmtId="0" fontId="0" fillId="26" borderId="43" xfId="0" applyFill="1" applyBorder="1" applyAlignment="1" applyProtection="1">
      <alignment horizontal="center" vertical="center"/>
    </xf>
    <xf numFmtId="0" fontId="26" fillId="18" borderId="47" xfId="0" applyFont="1" applyFill="1" applyBorder="1" applyAlignment="1" applyProtection="1">
      <alignment horizontal="left" vertical="center"/>
    </xf>
    <xf numFmtId="0" fontId="26" fillId="18" borderId="49" xfId="0" applyFont="1" applyFill="1" applyBorder="1" applyAlignment="1" applyProtection="1">
      <alignment horizontal="left" vertical="center"/>
    </xf>
    <xf numFmtId="0" fontId="26" fillId="18" borderId="43" xfId="0" applyFont="1" applyFill="1" applyBorder="1" applyAlignment="1" applyProtection="1">
      <alignment horizontal="left" vertical="center"/>
    </xf>
    <xf numFmtId="0" fontId="5" fillId="0" borderId="60" xfId="0" applyFont="1" applyBorder="1" applyAlignment="1" applyProtection="1">
      <alignment horizontal="center" vertical="center" wrapText="1"/>
      <protection locked="0"/>
    </xf>
    <xf numFmtId="0" fontId="101" fillId="0" borderId="21" xfId="0" applyFont="1" applyBorder="1" applyAlignment="1" applyProtection="1">
      <alignment horizontal="center" vertical="center"/>
      <protection locked="0"/>
    </xf>
    <xf numFmtId="0" fontId="102" fillId="0" borderId="17" xfId="0" applyFont="1" applyBorder="1" applyAlignment="1" applyProtection="1">
      <alignment horizontal="center" vertical="center"/>
      <protection locked="0"/>
    </xf>
    <xf numFmtId="0" fontId="102" fillId="0" borderId="18" xfId="0" applyFont="1" applyBorder="1" applyAlignment="1" applyProtection="1">
      <alignment horizontal="center" vertical="center"/>
      <protection locked="0"/>
    </xf>
    <xf numFmtId="0" fontId="102" fillId="0" borderId="10" xfId="0" applyFont="1" applyBorder="1" applyAlignment="1" applyProtection="1">
      <alignment horizontal="center" vertical="center"/>
      <protection locked="0"/>
    </xf>
    <xf numFmtId="0" fontId="102" fillId="0" borderId="0" xfId="0" applyFont="1" applyBorder="1" applyAlignment="1" applyProtection="1">
      <alignment horizontal="center" vertical="center"/>
      <protection locked="0"/>
    </xf>
    <xf numFmtId="0" fontId="102" fillId="0" borderId="11" xfId="0" applyFont="1" applyBorder="1" applyAlignment="1" applyProtection="1">
      <alignment horizontal="center" vertical="center"/>
      <protection locked="0"/>
    </xf>
    <xf numFmtId="0" fontId="102" fillId="0" borderId="12" xfId="0" applyFont="1" applyBorder="1" applyAlignment="1" applyProtection="1">
      <alignment horizontal="center" vertical="center"/>
      <protection locked="0"/>
    </xf>
    <xf numFmtId="0" fontId="102" fillId="0" borderId="14" xfId="0" applyFont="1" applyBorder="1" applyAlignment="1" applyProtection="1">
      <alignment horizontal="center" vertical="center"/>
      <protection locked="0"/>
    </xf>
    <xf numFmtId="0" fontId="102" fillId="0" borderId="13" xfId="0" applyFont="1" applyBorder="1" applyAlignment="1" applyProtection="1">
      <alignment horizontal="center" vertical="center"/>
      <protection locked="0"/>
    </xf>
    <xf numFmtId="0" fontId="5" fillId="0" borderId="31" xfId="0" applyFont="1" applyBorder="1" applyAlignment="1" applyProtection="1">
      <alignment horizontal="center" vertical="center" wrapText="1"/>
      <protection locked="0"/>
    </xf>
    <xf numFmtId="0" fontId="5" fillId="0" borderId="25" xfId="0" applyFont="1" applyBorder="1" applyAlignment="1" applyProtection="1">
      <alignment horizontal="center" vertical="center" wrapText="1"/>
      <protection locked="0"/>
    </xf>
    <xf numFmtId="0" fontId="4" fillId="18" borderId="10" xfId="0" applyFont="1" applyFill="1" applyBorder="1" applyAlignment="1" applyProtection="1">
      <alignment horizontal="center" vertical="center" textRotation="90" wrapText="1"/>
    </xf>
    <xf numFmtId="0" fontId="4" fillId="18" borderId="6" xfId="0" applyFont="1" applyFill="1" applyBorder="1" applyAlignment="1" applyProtection="1">
      <alignment horizontal="center" vertical="center" textRotation="90" wrapText="1"/>
    </xf>
    <xf numFmtId="0" fontId="5" fillId="0" borderId="32" xfId="0" applyFont="1" applyBorder="1" applyAlignment="1" applyProtection="1">
      <alignment horizontal="center" vertical="center" wrapText="1"/>
      <protection locked="0"/>
    </xf>
    <xf numFmtId="0" fontId="5" fillId="0" borderId="80" xfId="0" applyFont="1" applyBorder="1" applyAlignment="1" applyProtection="1">
      <alignment horizontal="center" vertical="center" wrapText="1"/>
      <protection locked="0"/>
    </xf>
    <xf numFmtId="0" fontId="5" fillId="0" borderId="47" xfId="0" applyFont="1" applyBorder="1" applyAlignment="1" applyProtection="1">
      <alignment horizontal="center" vertical="top" wrapText="1"/>
      <protection locked="0"/>
    </xf>
    <xf numFmtId="0" fontId="5" fillId="0" borderId="49" xfId="0" applyFont="1" applyBorder="1" applyAlignment="1" applyProtection="1">
      <alignment horizontal="center" vertical="top" wrapText="1"/>
      <protection locked="0"/>
    </xf>
    <xf numFmtId="0" fontId="5" fillId="0" borderId="43" xfId="0" applyFont="1" applyBorder="1" applyAlignment="1" applyProtection="1">
      <alignment horizontal="center" vertical="top" wrapText="1"/>
      <protection locked="0"/>
    </xf>
    <xf numFmtId="0" fontId="5" fillId="0" borderId="32" xfId="0" applyNumberFormat="1" applyFont="1" applyFill="1" applyBorder="1" applyAlignment="1" applyProtection="1">
      <alignment horizontal="center" vertical="center" wrapText="1"/>
      <protection locked="0"/>
    </xf>
    <xf numFmtId="0" fontId="5" fillId="0" borderId="30" xfId="0" applyNumberFormat="1" applyFont="1" applyFill="1" applyBorder="1" applyAlignment="1" applyProtection="1">
      <alignment horizontal="center" vertical="center" wrapText="1"/>
      <protection locked="0"/>
    </xf>
    <xf numFmtId="0" fontId="10" fillId="18" borderId="65" xfId="0" applyFont="1" applyFill="1" applyBorder="1" applyAlignment="1" applyProtection="1">
      <alignment horizontal="center" vertical="center" wrapText="1"/>
    </xf>
    <xf numFmtId="0" fontId="26" fillId="18" borderId="44" xfId="0" applyFont="1" applyFill="1" applyBorder="1" applyAlignment="1" applyProtection="1">
      <alignment horizontal="center" vertical="center" wrapText="1"/>
    </xf>
    <xf numFmtId="0" fontId="26" fillId="18" borderId="7" xfId="0" applyFont="1" applyFill="1" applyBorder="1" applyAlignment="1" applyProtection="1">
      <alignment horizontal="center" vertical="center" wrapText="1"/>
    </xf>
    <xf numFmtId="0" fontId="26" fillId="18" borderId="45" xfId="0" applyFont="1" applyFill="1" applyBorder="1" applyAlignment="1" applyProtection="1">
      <alignment horizontal="center" vertical="center" wrapText="1"/>
    </xf>
    <xf numFmtId="0" fontId="26" fillId="18" borderId="63" xfId="0" applyFont="1" applyFill="1" applyBorder="1" applyAlignment="1" applyProtection="1">
      <alignment horizontal="center" vertical="center" wrapText="1"/>
    </xf>
    <xf numFmtId="0" fontId="26" fillId="18" borderId="42" xfId="0" applyFont="1" applyFill="1" applyBorder="1" applyAlignment="1" applyProtection="1">
      <alignment horizontal="center" vertical="center" wrapText="1"/>
    </xf>
    <xf numFmtId="0" fontId="26" fillId="18" borderId="55" xfId="0" applyFont="1" applyFill="1" applyBorder="1" applyAlignment="1" applyProtection="1">
      <alignment horizontal="center" vertical="center" wrapText="1"/>
    </xf>
    <xf numFmtId="0" fontId="26" fillId="18" borderId="64" xfId="0" applyFont="1" applyFill="1" applyBorder="1" applyAlignment="1" applyProtection="1">
      <alignment horizontal="center" vertical="center" wrapText="1"/>
    </xf>
    <xf numFmtId="0" fontId="5" fillId="0" borderId="2" xfId="0" applyFont="1" applyBorder="1" applyAlignment="1" applyProtection="1">
      <alignment horizontal="left" vertical="center" wrapText="1"/>
      <protection locked="0"/>
    </xf>
    <xf numFmtId="0" fontId="5" fillId="0" borderId="73" xfId="0" applyFont="1" applyBorder="1" applyAlignment="1" applyProtection="1">
      <alignment horizontal="left" vertical="center" wrapText="1"/>
      <protection locked="0"/>
    </xf>
    <xf numFmtId="166" fontId="41" fillId="0" borderId="39" xfId="0" applyNumberFormat="1" applyFont="1" applyBorder="1" applyAlignment="1" applyProtection="1">
      <alignment horizontal="center" vertical="center" wrapText="1"/>
      <protection locked="0"/>
    </xf>
    <xf numFmtId="0" fontId="4" fillId="18" borderId="12" xfId="0" applyFont="1" applyFill="1" applyBorder="1" applyAlignment="1" applyProtection="1">
      <alignment horizontal="center" vertical="center" textRotation="90" wrapText="1"/>
    </xf>
    <xf numFmtId="0" fontId="4" fillId="18" borderId="66" xfId="0" applyFont="1" applyFill="1" applyBorder="1" applyAlignment="1" applyProtection="1">
      <alignment horizontal="center" vertical="center" textRotation="90" wrapText="1"/>
    </xf>
    <xf numFmtId="166" fontId="41" fillId="0" borderId="2" xfId="0" applyNumberFormat="1" applyFont="1" applyBorder="1" applyAlignment="1" applyProtection="1">
      <alignment horizontal="center" vertical="center" wrapText="1"/>
      <protection locked="0"/>
    </xf>
    <xf numFmtId="166" fontId="41" fillId="0" borderId="4" xfId="0" applyNumberFormat="1" applyFont="1" applyBorder="1" applyAlignment="1" applyProtection="1">
      <alignment horizontal="center" vertical="center" wrapText="1"/>
      <protection locked="0"/>
    </xf>
    <xf numFmtId="166" fontId="41" fillId="0" borderId="79" xfId="0" applyNumberFormat="1" applyFont="1" applyBorder="1" applyAlignment="1" applyProtection="1">
      <alignment horizontal="center" vertical="center" wrapText="1"/>
      <protection locked="0"/>
    </xf>
    <xf numFmtId="166" fontId="41" fillId="0" borderId="66" xfId="0" applyNumberFormat="1" applyFont="1" applyBorder="1" applyAlignment="1" applyProtection="1">
      <alignment horizontal="center" vertical="center" wrapText="1"/>
      <protection locked="0"/>
    </xf>
    <xf numFmtId="0" fontId="41" fillId="0" borderId="2" xfId="0" applyFont="1" applyBorder="1" applyAlignment="1" applyProtection="1">
      <alignment horizontal="center" vertical="center" wrapText="1"/>
      <protection locked="0"/>
    </xf>
    <xf numFmtId="0" fontId="0" fillId="0" borderId="3" xfId="0" applyBorder="1" applyAlignment="1">
      <alignment horizontal="center"/>
    </xf>
    <xf numFmtId="0" fontId="0" fillId="0" borderId="4" xfId="0" applyBorder="1" applyAlignment="1">
      <alignment horizontal="center"/>
    </xf>
    <xf numFmtId="0" fontId="0" fillId="0" borderId="79" xfId="0" applyBorder="1" applyAlignment="1">
      <alignment horizontal="center"/>
    </xf>
    <xf numFmtId="0" fontId="0" fillId="0" borderId="14" xfId="0" applyBorder="1" applyAlignment="1">
      <alignment horizontal="center"/>
    </xf>
    <xf numFmtId="0" fontId="0" fillId="0" borderId="66" xfId="0" applyBorder="1" applyAlignment="1">
      <alignment horizontal="center"/>
    </xf>
    <xf numFmtId="166" fontId="41" fillId="0" borderId="41" xfId="0" applyNumberFormat="1" applyFont="1" applyBorder="1" applyAlignment="1" applyProtection="1">
      <alignment horizontal="center" vertical="center" wrapText="1"/>
      <protection locked="0"/>
    </xf>
    <xf numFmtId="166" fontId="41" fillId="0" borderId="13" xfId="0" applyNumberFormat="1" applyFont="1" applyBorder="1" applyAlignment="1" applyProtection="1">
      <alignment horizontal="center" vertical="center" wrapText="1"/>
      <protection locked="0"/>
    </xf>
    <xf numFmtId="0" fontId="7" fillId="26" borderId="47" xfId="0" applyFont="1" applyFill="1" applyBorder="1" applyAlignment="1" applyProtection="1">
      <alignment horizontal="center" vertical="center" wrapText="1"/>
    </xf>
    <xf numFmtId="0" fontId="7" fillId="26" borderId="43" xfId="0" applyFont="1" applyFill="1" applyBorder="1" applyAlignment="1" applyProtection="1">
      <alignment horizontal="center" vertical="center" wrapText="1"/>
    </xf>
    <xf numFmtId="0" fontId="8" fillId="19" borderId="0" xfId="0" applyFont="1" applyFill="1" applyBorder="1" applyAlignment="1" applyProtection="1">
      <alignment horizontal="right"/>
    </xf>
    <xf numFmtId="0" fontId="5" fillId="19" borderId="47" xfId="0" applyFont="1" applyFill="1" applyBorder="1" applyAlignment="1" applyProtection="1">
      <alignment horizontal="center" vertical="top"/>
      <protection locked="0"/>
    </xf>
    <xf numFmtId="0" fontId="5" fillId="19" borderId="49" xfId="0" applyFont="1" applyFill="1" applyBorder="1" applyAlignment="1" applyProtection="1">
      <alignment horizontal="center" vertical="top"/>
      <protection locked="0"/>
    </xf>
    <xf numFmtId="0" fontId="5" fillId="19" borderId="43" xfId="0" applyFont="1" applyFill="1" applyBorder="1" applyAlignment="1" applyProtection="1">
      <alignment horizontal="center" vertical="top"/>
      <protection locked="0"/>
    </xf>
    <xf numFmtId="0" fontId="7" fillId="28" borderId="47" xfId="0" applyFont="1" applyFill="1" applyBorder="1" applyAlignment="1" applyProtection="1">
      <alignment horizontal="center"/>
    </xf>
    <xf numFmtId="0" fontId="7" fillId="28" borderId="49" xfId="0" applyFont="1" applyFill="1" applyBorder="1" applyAlignment="1" applyProtection="1">
      <alignment horizontal="center"/>
    </xf>
    <xf numFmtId="0" fontId="9" fillId="0" borderId="10" xfId="0" applyFont="1" applyFill="1" applyBorder="1" applyAlignment="1" applyProtection="1">
      <alignment horizontal="left" vertical="top" wrapText="1"/>
      <protection locked="0"/>
    </xf>
    <xf numFmtId="0" fontId="9" fillId="0" borderId="0" xfId="0" applyFont="1" applyFill="1" applyBorder="1" applyAlignment="1" applyProtection="1">
      <alignment horizontal="left" vertical="top" wrapText="1"/>
      <protection locked="0"/>
    </xf>
    <xf numFmtId="0" fontId="9" fillId="0" borderId="11" xfId="0" applyFont="1" applyFill="1" applyBorder="1" applyAlignment="1" applyProtection="1">
      <alignment horizontal="left" vertical="top" wrapText="1"/>
      <protection locked="0"/>
    </xf>
    <xf numFmtId="0" fontId="9" fillId="0" borderId="88" xfId="0" applyFont="1" applyFill="1" applyBorder="1" applyAlignment="1" applyProtection="1">
      <alignment horizontal="left" vertical="top" wrapText="1"/>
      <protection locked="0"/>
    </xf>
    <xf numFmtId="0" fontId="9" fillId="0" borderId="89" xfId="0" applyFont="1" applyFill="1" applyBorder="1" applyAlignment="1" applyProtection="1">
      <alignment horizontal="left" vertical="top" wrapText="1"/>
      <protection locked="0"/>
    </xf>
    <xf numFmtId="0" fontId="9" fillId="0" borderId="90" xfId="0" applyFont="1" applyFill="1" applyBorder="1" applyAlignment="1" applyProtection="1">
      <alignment horizontal="left" vertical="top" wrapText="1"/>
      <protection locked="0"/>
    </xf>
    <xf numFmtId="0" fontId="9" fillId="0" borderId="35" xfId="0" applyFont="1" applyFill="1" applyBorder="1" applyAlignment="1" applyProtection="1">
      <alignment horizontal="left" vertical="top" wrapText="1"/>
      <protection locked="0"/>
    </xf>
    <xf numFmtId="0" fontId="9" fillId="0" borderId="3" xfId="0" applyFont="1" applyFill="1" applyBorder="1" applyAlignment="1" applyProtection="1">
      <alignment horizontal="left" vertical="top" wrapText="1"/>
      <protection locked="0"/>
    </xf>
    <xf numFmtId="0" fontId="9" fillId="0" borderId="41" xfId="0" applyFont="1" applyFill="1" applyBorder="1" applyAlignment="1" applyProtection="1">
      <alignment horizontal="left" vertical="top" wrapText="1"/>
      <protection locked="0"/>
    </xf>
    <xf numFmtId="0" fontId="9" fillId="0" borderId="53" xfId="0" applyFont="1" applyFill="1" applyBorder="1" applyAlignment="1" applyProtection="1">
      <alignment horizontal="left" vertical="top" wrapText="1"/>
      <protection locked="0"/>
    </xf>
    <xf numFmtId="0" fontId="9" fillId="0" borderId="8" xfId="0" applyFont="1" applyFill="1" applyBorder="1" applyAlignment="1" applyProtection="1">
      <alignment horizontal="left" vertical="top" wrapText="1"/>
      <protection locked="0"/>
    </xf>
    <xf numFmtId="0" fontId="9" fillId="0" borderId="70" xfId="0" applyFont="1" applyFill="1" applyBorder="1" applyAlignment="1" applyProtection="1">
      <alignment horizontal="left" vertical="top" wrapText="1"/>
      <protection locked="0"/>
    </xf>
    <xf numFmtId="0" fontId="9" fillId="0" borderId="82" xfId="0" applyFont="1" applyFill="1" applyBorder="1" applyAlignment="1" applyProtection="1">
      <alignment horizontal="left" vertical="top" wrapText="1"/>
      <protection locked="0"/>
    </xf>
    <xf numFmtId="0" fontId="9" fillId="0" borderId="83" xfId="0" applyFont="1" applyFill="1" applyBorder="1" applyAlignment="1" applyProtection="1">
      <alignment horizontal="left" vertical="top" wrapText="1"/>
      <protection locked="0"/>
    </xf>
    <xf numFmtId="0" fontId="9" fillId="0" borderId="84" xfId="0" applyFont="1" applyFill="1" applyBorder="1" applyAlignment="1" applyProtection="1">
      <alignment horizontal="left" vertical="top" wrapText="1"/>
      <protection locked="0"/>
    </xf>
    <xf numFmtId="0" fontId="92" fillId="26" borderId="21" xfId="0" applyFont="1" applyFill="1" applyBorder="1" applyAlignment="1" applyProtection="1">
      <alignment horizontal="center" vertical="top" wrapText="1"/>
    </xf>
    <xf numFmtId="0" fontId="9" fillId="26" borderId="17" xfId="0" applyFont="1" applyFill="1" applyBorder="1" applyAlignment="1" applyProtection="1">
      <alignment horizontal="center" vertical="top" wrapText="1"/>
    </xf>
    <xf numFmtId="0" fontId="9" fillId="26" borderId="18" xfId="0" applyFont="1" applyFill="1" applyBorder="1" applyAlignment="1" applyProtection="1">
      <alignment horizontal="center" vertical="top" wrapText="1"/>
    </xf>
    <xf numFmtId="0" fontId="9" fillId="26" borderId="10" xfId="0" applyFont="1" applyFill="1" applyBorder="1" applyAlignment="1" applyProtection="1">
      <alignment horizontal="center" vertical="top" wrapText="1"/>
    </xf>
    <xf numFmtId="0" fontId="9" fillId="26" borderId="0" xfId="0" applyFont="1" applyFill="1" applyBorder="1" applyAlignment="1" applyProtection="1">
      <alignment horizontal="center" vertical="top" wrapText="1"/>
    </xf>
    <xf numFmtId="0" fontId="9" fillId="26" borderId="11" xfId="0" applyFont="1" applyFill="1" applyBorder="1" applyAlignment="1" applyProtection="1">
      <alignment horizontal="center" vertical="top" wrapText="1"/>
    </xf>
    <xf numFmtId="0" fontId="9" fillId="26" borderId="12" xfId="0" applyFont="1" applyFill="1" applyBorder="1" applyAlignment="1" applyProtection="1">
      <alignment horizontal="center" vertical="top" wrapText="1"/>
    </xf>
    <xf numFmtId="0" fontId="9" fillId="26" borderId="14" xfId="0" applyFont="1" applyFill="1" applyBorder="1" applyAlignment="1" applyProtection="1">
      <alignment horizontal="center" vertical="top" wrapText="1"/>
    </xf>
    <xf numFmtId="0" fontId="9" fillId="26" borderId="13" xfId="0" applyFont="1" applyFill="1" applyBorder="1" applyAlignment="1" applyProtection="1">
      <alignment horizontal="center" vertical="top" wrapText="1"/>
    </xf>
    <xf numFmtId="0" fontId="7" fillId="0" borderId="85" xfId="0" applyFont="1" applyFill="1" applyBorder="1" applyAlignment="1" applyProtection="1">
      <alignment horizontal="center" vertical="center" wrapText="1"/>
    </xf>
    <xf numFmtId="0" fontId="7" fillId="0" borderId="86" xfId="0" applyFont="1" applyFill="1" applyBorder="1" applyAlignment="1" applyProtection="1">
      <alignment horizontal="center" vertical="center" wrapText="1"/>
    </xf>
    <xf numFmtId="0" fontId="7" fillId="0" borderId="87" xfId="0" applyFont="1" applyFill="1" applyBorder="1" applyAlignment="1" applyProtection="1">
      <alignment horizontal="center" vertical="center" wrapText="1"/>
    </xf>
    <xf numFmtId="0" fontId="90" fillId="0" borderId="85" xfId="0" applyFont="1" applyFill="1" applyBorder="1" applyAlignment="1" applyProtection="1">
      <alignment horizontal="center" vertical="top" wrapText="1"/>
    </xf>
    <xf numFmtId="0" fontId="90" fillId="0" borderId="86" xfId="0" applyFont="1" applyFill="1" applyBorder="1" applyAlignment="1" applyProtection="1">
      <alignment horizontal="center" vertical="top" wrapText="1"/>
    </xf>
    <xf numFmtId="0" fontId="90" fillId="0" borderId="87" xfId="0" applyFont="1" applyFill="1" applyBorder="1" applyAlignment="1" applyProtection="1">
      <alignment horizontal="center" vertical="top" wrapText="1"/>
    </xf>
    <xf numFmtId="0" fontId="61" fillId="26" borderId="14" xfId="0" applyFont="1" applyFill="1" applyBorder="1" applyAlignment="1" applyProtection="1">
      <alignment horizontal="left" vertical="top" wrapText="1"/>
    </xf>
    <xf numFmtId="0" fontId="9" fillId="26" borderId="10" xfId="0" applyFont="1" applyFill="1" applyBorder="1" applyAlignment="1" applyProtection="1">
      <alignment horizontal="left" vertical="top" wrapText="1"/>
    </xf>
    <xf numFmtId="0" fontId="9" fillId="26" borderId="0" xfId="0" applyFont="1" applyFill="1" applyBorder="1" applyAlignment="1" applyProtection="1">
      <alignment horizontal="left" vertical="top" wrapText="1"/>
    </xf>
    <xf numFmtId="0" fontId="9" fillId="26" borderId="11" xfId="0" applyFont="1" applyFill="1" applyBorder="1" applyAlignment="1" applyProtection="1">
      <alignment horizontal="left" vertical="top" wrapText="1"/>
    </xf>
    <xf numFmtId="0" fontId="9" fillId="26" borderId="53" xfId="0" applyFont="1" applyFill="1" applyBorder="1" applyAlignment="1" applyProtection="1">
      <alignment horizontal="left" vertical="top" wrapText="1"/>
    </xf>
    <xf numFmtId="0" fontId="9" fillId="26" borderId="8" xfId="0" applyFont="1" applyFill="1" applyBorder="1" applyAlignment="1" applyProtection="1">
      <alignment horizontal="left" vertical="top" wrapText="1"/>
    </xf>
    <xf numFmtId="0" fontId="9" fillId="26" borderId="70" xfId="0" applyFont="1" applyFill="1" applyBorder="1" applyAlignment="1" applyProtection="1">
      <alignment horizontal="left" vertical="top" wrapText="1"/>
    </xf>
    <xf numFmtId="0" fontId="90" fillId="26" borderId="21" xfId="0" applyFont="1" applyFill="1" applyBorder="1" applyAlignment="1" applyProtection="1">
      <alignment horizontal="center" vertical="top" wrapText="1"/>
    </xf>
    <xf numFmtId="0" fontId="90" fillId="26" borderId="17" xfId="0" applyFont="1" applyFill="1" applyBorder="1" applyAlignment="1" applyProtection="1">
      <alignment horizontal="center" vertical="top" wrapText="1"/>
    </xf>
    <xf numFmtId="0" fontId="90" fillId="26" borderId="18" xfId="0" applyFont="1" applyFill="1" applyBorder="1" applyAlignment="1" applyProtection="1">
      <alignment horizontal="center" vertical="top" wrapText="1"/>
    </xf>
    <xf numFmtId="0" fontId="9" fillId="26" borderId="35" xfId="0" applyFont="1" applyFill="1" applyBorder="1" applyAlignment="1" applyProtection="1">
      <alignment horizontal="left" vertical="top" wrapText="1"/>
    </xf>
    <xf numFmtId="0" fontId="9" fillId="26" borderId="3" xfId="0" applyFont="1" applyFill="1" applyBorder="1" applyAlignment="1" applyProtection="1">
      <alignment horizontal="left" vertical="top" wrapText="1"/>
    </xf>
    <xf numFmtId="0" fontId="9" fillId="26" borderId="41" xfId="0" applyFont="1" applyFill="1" applyBorder="1" applyAlignment="1" applyProtection="1">
      <alignment horizontal="left" vertical="top" wrapText="1"/>
    </xf>
    <xf numFmtId="0" fontId="9" fillId="26" borderId="82" xfId="0" applyFont="1" applyFill="1" applyBorder="1" applyAlignment="1" applyProtection="1">
      <alignment horizontal="left" vertical="top" wrapText="1"/>
    </xf>
    <xf numFmtId="0" fontId="9" fillId="26" borderId="83" xfId="0" applyFont="1" applyFill="1" applyBorder="1" applyAlignment="1" applyProtection="1">
      <alignment horizontal="left" vertical="top" wrapText="1"/>
    </xf>
    <xf numFmtId="0" fontId="9" fillId="26" borderId="84" xfId="0" applyFont="1" applyFill="1" applyBorder="1" applyAlignment="1" applyProtection="1">
      <alignment horizontal="left" vertical="top" wrapText="1"/>
    </xf>
    <xf numFmtId="0" fontId="2" fillId="0" borderId="21"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13" xfId="0" applyFont="1" applyBorder="1" applyAlignment="1">
      <alignment horizontal="center" vertical="center" wrapText="1"/>
    </xf>
    <xf numFmtId="0" fontId="12" fillId="26" borderId="47" xfId="0" applyFont="1" applyFill="1" applyBorder="1" applyAlignment="1">
      <alignment horizontal="left"/>
    </xf>
    <xf numFmtId="0" fontId="0" fillId="26" borderId="49" xfId="0" applyFill="1" applyBorder="1" applyAlignment="1">
      <alignment horizontal="left"/>
    </xf>
    <xf numFmtId="0" fontId="0" fillId="26" borderId="43" xfId="0" applyFill="1" applyBorder="1" applyAlignment="1">
      <alignment horizontal="left"/>
    </xf>
    <xf numFmtId="0" fontId="7" fillId="18" borderId="47" xfId="0" applyFont="1" applyFill="1" applyBorder="1" applyAlignment="1" applyProtection="1">
      <alignment horizontal="left" vertical="center" wrapText="1"/>
    </xf>
    <xf numFmtId="0" fontId="3" fillId="18" borderId="49" xfId="0" applyFont="1" applyFill="1" applyBorder="1" applyAlignment="1" applyProtection="1">
      <alignment horizontal="left" vertical="center"/>
    </xf>
    <xf numFmtId="0" fontId="3" fillId="18" borderId="43" xfId="0" applyFont="1" applyFill="1" applyBorder="1" applyAlignment="1" applyProtection="1">
      <alignment horizontal="left" vertical="center"/>
    </xf>
    <xf numFmtId="0" fontId="4" fillId="19" borderId="21" xfId="0" applyFont="1" applyFill="1" applyBorder="1" applyAlignment="1" applyProtection="1">
      <alignment horizontal="center" vertical="center" textRotation="90"/>
    </xf>
    <xf numFmtId="0" fontId="4" fillId="19" borderId="10" xfId="0" applyFont="1" applyFill="1" applyBorder="1" applyAlignment="1" applyProtection="1">
      <alignment horizontal="center" vertical="center" textRotation="90"/>
    </xf>
    <xf numFmtId="0" fontId="4" fillId="19" borderId="12" xfId="0" applyFont="1" applyFill="1" applyBorder="1" applyAlignment="1" applyProtection="1">
      <alignment horizontal="center" vertical="center" textRotation="90"/>
    </xf>
    <xf numFmtId="0" fontId="2" fillId="0" borderId="0" xfId="27" applyAlignment="1">
      <alignment horizontal="center"/>
    </xf>
    <xf numFmtId="0" fontId="0" fillId="0" borderId="0" xfId="0" applyAlignment="1">
      <alignment horizontal="center"/>
    </xf>
    <xf numFmtId="0" fontId="3" fillId="0" borderId="51" xfId="0" applyFont="1" applyBorder="1" applyAlignment="1">
      <alignment horizontal="left" vertical="top" wrapText="1"/>
    </xf>
    <xf numFmtId="0" fontId="84" fillId="0" borderId="33" xfId="0" applyFont="1" applyBorder="1" applyAlignment="1">
      <alignment horizontal="left" vertical="top"/>
    </xf>
    <xf numFmtId="0" fontId="84" fillId="0" borderId="36" xfId="0" applyFont="1" applyBorder="1" applyAlignment="1">
      <alignment horizontal="left" vertical="top"/>
    </xf>
    <xf numFmtId="0" fontId="0" fillId="0" borderId="28" xfId="0" applyNumberFormat="1" applyBorder="1" applyAlignment="1">
      <alignment horizontal="left" vertical="top" wrapText="1"/>
    </xf>
    <xf numFmtId="0" fontId="0" fillId="0" borderId="33" xfId="0" applyNumberFormat="1" applyBorder="1" applyAlignment="1">
      <alignment horizontal="left" vertical="top"/>
    </xf>
    <xf numFmtId="0" fontId="0" fillId="0" borderId="28" xfId="0" applyBorder="1" applyAlignment="1">
      <alignment horizontal="left" vertical="top" wrapText="1"/>
    </xf>
    <xf numFmtId="0" fontId="0" fillId="0" borderId="33" xfId="0" applyBorder="1" applyAlignment="1">
      <alignment horizontal="left" vertical="top"/>
    </xf>
    <xf numFmtId="0" fontId="0" fillId="0" borderId="29" xfId="0" applyBorder="1" applyAlignment="1">
      <alignment horizontal="left" vertical="top"/>
    </xf>
    <xf numFmtId="0" fontId="2" fillId="0" borderId="28" xfId="27" applyFont="1" applyBorder="1" applyAlignment="1">
      <alignment horizontal="left" vertical="top" wrapText="1"/>
    </xf>
    <xf numFmtId="0" fontId="2" fillId="0" borderId="33" xfId="27" applyFont="1" applyBorder="1" applyAlignment="1">
      <alignment horizontal="left" vertical="top"/>
    </xf>
    <xf numFmtId="0" fontId="2" fillId="0" borderId="29" xfId="27" applyFont="1" applyBorder="1" applyAlignment="1">
      <alignment horizontal="left" vertical="top"/>
    </xf>
    <xf numFmtId="0" fontId="2" fillId="0" borderId="33" xfId="27" applyFont="1" applyFill="1" applyBorder="1" applyAlignment="1">
      <alignment horizontal="left" vertical="top" wrapText="1"/>
    </xf>
    <xf numFmtId="0" fontId="2" fillId="0" borderId="33" xfId="27" applyFont="1" applyFill="1" applyBorder="1" applyAlignment="1">
      <alignment horizontal="left" vertical="top"/>
    </xf>
    <xf numFmtId="0" fontId="2" fillId="0" borderId="29" xfId="27" applyFont="1" applyFill="1" applyBorder="1" applyAlignment="1">
      <alignment horizontal="left" vertical="top"/>
    </xf>
    <xf numFmtId="0" fontId="2" fillId="0" borderId="33" xfId="0" applyFont="1" applyBorder="1" applyAlignment="1">
      <alignment horizontal="left" vertical="top" wrapText="1"/>
    </xf>
    <xf numFmtId="0" fontId="2" fillId="0" borderId="33" xfId="0" applyFont="1" applyBorder="1" applyAlignment="1">
      <alignment horizontal="left" vertical="top"/>
    </xf>
    <xf numFmtId="0" fontId="2" fillId="0" borderId="29" xfId="0" applyFont="1" applyBorder="1" applyAlignment="1">
      <alignment horizontal="left" vertical="top"/>
    </xf>
    <xf numFmtId="0" fontId="0" fillId="0" borderId="29" xfId="0" applyNumberFormat="1" applyBorder="1" applyAlignment="1">
      <alignment horizontal="left" vertical="top"/>
    </xf>
    <xf numFmtId="0" fontId="2" fillId="0" borderId="28" xfId="0" applyFont="1" applyBorder="1" applyAlignment="1">
      <alignment horizontal="left" vertical="top" wrapText="1"/>
    </xf>
    <xf numFmtId="0" fontId="2" fillId="0" borderId="51" xfId="27" quotePrefix="1" applyNumberFormat="1" applyFont="1" applyBorder="1" applyAlignment="1">
      <alignment horizontal="left" vertical="top" wrapText="1"/>
    </xf>
    <xf numFmtId="0" fontId="2" fillId="0" borderId="33" xfId="27" applyNumberFormat="1" applyFont="1" applyBorder="1" applyAlignment="1">
      <alignment horizontal="left" vertical="top"/>
    </xf>
    <xf numFmtId="0" fontId="2" fillId="0" borderId="36" xfId="27" applyNumberFormat="1" applyFont="1" applyBorder="1" applyAlignment="1">
      <alignment horizontal="left" vertical="top"/>
    </xf>
    <xf numFmtId="0" fontId="0" fillId="0" borderId="51" xfId="0" applyNumberFormat="1" applyBorder="1" applyAlignment="1">
      <alignment horizontal="left" vertical="top" wrapText="1"/>
    </xf>
    <xf numFmtId="0" fontId="0" fillId="0" borderId="36" xfId="0" applyNumberFormat="1" applyBorder="1" applyAlignment="1">
      <alignment horizontal="left" vertical="top"/>
    </xf>
    <xf numFmtId="0" fontId="0" fillId="0" borderId="33" xfId="0" applyNumberFormat="1" applyBorder="1" applyAlignment="1">
      <alignment horizontal="left" vertical="top" wrapText="1"/>
    </xf>
    <xf numFmtId="0" fontId="2" fillId="0" borderId="33" xfId="27" applyNumberFormat="1" applyFont="1" applyBorder="1" applyAlignment="1">
      <alignment horizontal="left" vertical="top" wrapText="1"/>
    </xf>
    <xf numFmtId="0" fontId="2" fillId="0" borderId="29" xfId="27" applyNumberFormat="1" applyFont="1" applyBorder="1" applyAlignment="1">
      <alignment horizontal="left" vertical="top"/>
    </xf>
    <xf numFmtId="0" fontId="3" fillId="0" borderId="28" xfId="0" applyFont="1" applyBorder="1" applyAlignment="1">
      <alignment horizontal="left" vertical="top" wrapText="1"/>
    </xf>
    <xf numFmtId="0" fontId="105" fillId="0" borderId="33" xfId="0" applyFont="1" applyBorder="1" applyAlignment="1">
      <alignment horizontal="left" vertical="top" wrapText="1"/>
    </xf>
    <xf numFmtId="0" fontId="105" fillId="0" borderId="28" xfId="0" applyFont="1" applyBorder="1" applyAlignment="1">
      <alignment horizontal="left" vertical="top" wrapText="1"/>
    </xf>
    <xf numFmtId="0" fontId="0" fillId="0" borderId="28" xfId="0" applyFill="1" applyBorder="1" applyAlignment="1">
      <alignment horizontal="left" vertical="top" wrapText="1"/>
    </xf>
    <xf numFmtId="0" fontId="0" fillId="0" borderId="33" xfId="0" applyFill="1" applyBorder="1" applyAlignment="1">
      <alignment horizontal="left" vertical="top"/>
    </xf>
    <xf numFmtId="0" fontId="0" fillId="0" borderId="29" xfId="0" applyFill="1" applyBorder="1" applyAlignment="1">
      <alignment horizontal="left" vertical="top"/>
    </xf>
    <xf numFmtId="0" fontId="3" fillId="0" borderId="33" xfId="0" applyFont="1" applyBorder="1" applyAlignment="1">
      <alignment horizontal="left" vertical="top"/>
    </xf>
    <xf numFmtId="0" fontId="3" fillId="0" borderId="29" xfId="0" applyFont="1" applyBorder="1" applyAlignment="1">
      <alignment horizontal="left" vertical="top"/>
    </xf>
    <xf numFmtId="0" fontId="105" fillId="0" borderId="51" xfId="0" applyFont="1" applyBorder="1" applyAlignment="1">
      <alignment horizontal="left" vertical="top" wrapText="1"/>
    </xf>
    <xf numFmtId="0" fontId="3" fillId="0" borderId="33" xfId="0" applyFont="1" applyBorder="1" applyAlignment="1">
      <alignment horizontal="left" vertical="top" wrapText="1"/>
    </xf>
    <xf numFmtId="0" fontId="2" fillId="0" borderId="33" xfId="0" applyNumberFormat="1" applyFont="1" applyBorder="1" applyAlignment="1">
      <alignment horizontal="left" vertical="top" wrapText="1"/>
    </xf>
    <xf numFmtId="0" fontId="0" fillId="0" borderId="33" xfId="0" applyBorder="1" applyAlignment="1">
      <alignment horizontal="left" vertical="top" wrapText="1"/>
    </xf>
    <xf numFmtId="0" fontId="2" fillId="0" borderId="28" xfId="27" applyNumberFormat="1" applyFont="1" applyFill="1" applyBorder="1" applyAlignment="1">
      <alignment horizontal="left" vertical="top" wrapText="1"/>
    </xf>
    <xf numFmtId="0" fontId="2" fillId="0" borderId="33" xfId="27" applyNumberFormat="1" applyFont="1" applyFill="1" applyBorder="1" applyAlignment="1">
      <alignment horizontal="left" vertical="top"/>
    </xf>
    <xf numFmtId="0" fontId="2" fillId="0" borderId="33" xfId="27" applyFont="1" applyBorder="1" applyAlignment="1">
      <alignment horizontal="left" vertical="top" wrapText="1"/>
    </xf>
    <xf numFmtId="0" fontId="0" fillId="0" borderId="19" xfId="0" applyBorder="1" applyAlignment="1">
      <alignment horizontal="center"/>
    </xf>
    <xf numFmtId="0" fontId="0" fillId="0" borderId="37" xfId="0" applyBorder="1" applyAlignment="1">
      <alignment horizontal="center"/>
    </xf>
    <xf numFmtId="0" fontId="0" fillId="0" borderId="20" xfId="0" applyBorder="1" applyAlignment="1">
      <alignment horizontal="center"/>
    </xf>
    <xf numFmtId="0" fontId="0" fillId="0" borderId="33" xfId="0" applyBorder="1" applyAlignment="1">
      <alignment horizontal="center"/>
    </xf>
    <xf numFmtId="0" fontId="0" fillId="0" borderId="29" xfId="0" applyBorder="1" applyAlignment="1">
      <alignment horizontal="center"/>
    </xf>
    <xf numFmtId="0" fontId="0" fillId="0" borderId="28" xfId="0" applyBorder="1" applyAlignment="1">
      <alignment horizontal="center"/>
    </xf>
    <xf numFmtId="0" fontId="2" fillId="0" borderId="28" xfId="0" applyFont="1" applyFill="1" applyBorder="1" applyAlignment="1">
      <alignment horizontal="left" vertical="top" wrapText="1"/>
    </xf>
    <xf numFmtId="0" fontId="2" fillId="0" borderId="33" xfId="0" applyFont="1" applyFill="1" applyBorder="1" applyAlignment="1">
      <alignment horizontal="left" vertical="top"/>
    </xf>
    <xf numFmtId="0" fontId="2" fillId="0" borderId="33" xfId="0" applyNumberFormat="1" applyFont="1" applyFill="1" applyBorder="1" applyAlignment="1">
      <alignment horizontal="left" vertical="top" wrapText="1"/>
    </xf>
    <xf numFmtId="0" fontId="2" fillId="0" borderId="33" xfId="0" applyNumberFormat="1" applyFont="1" applyFill="1" applyBorder="1" applyAlignment="1">
      <alignment horizontal="left" vertical="top"/>
    </xf>
    <xf numFmtId="0" fontId="2" fillId="0" borderId="29" xfId="0" applyNumberFormat="1" applyFont="1" applyFill="1" applyBorder="1" applyAlignment="1">
      <alignment horizontal="left" vertical="top"/>
    </xf>
    <xf numFmtId="0" fontId="2" fillId="0" borderId="28" xfId="0" applyNumberFormat="1" applyFont="1" applyFill="1" applyBorder="1" applyAlignment="1">
      <alignment horizontal="left" vertical="top" wrapText="1"/>
    </xf>
    <xf numFmtId="0" fontId="2" fillId="0" borderId="33" xfId="0" applyFont="1" applyFill="1" applyBorder="1" applyAlignment="1">
      <alignment horizontal="left" vertical="top" wrapText="1"/>
    </xf>
    <xf numFmtId="0" fontId="3" fillId="0" borderId="19" xfId="0" applyFont="1" applyFill="1" applyBorder="1" applyAlignment="1">
      <alignment horizontal="left" vertical="top" wrapText="1"/>
    </xf>
    <xf numFmtId="0" fontId="3" fillId="0" borderId="37" xfId="0" applyFont="1" applyFill="1" applyBorder="1" applyAlignment="1">
      <alignment horizontal="left" vertical="top"/>
    </xf>
    <xf numFmtId="0" fontId="3" fillId="0" borderId="51" xfId="0" applyFont="1" applyFill="1" applyBorder="1" applyAlignment="1">
      <alignment horizontal="left" vertical="top"/>
    </xf>
    <xf numFmtId="0" fontId="3" fillId="0" borderId="33" xfId="0" applyNumberFormat="1" applyFont="1" applyFill="1" applyBorder="1" applyAlignment="1">
      <alignment horizontal="left" vertical="top" wrapText="1"/>
    </xf>
    <xf numFmtId="0" fontId="3" fillId="0" borderId="33" xfId="0" applyNumberFormat="1" applyFont="1" applyFill="1" applyBorder="1" applyAlignment="1">
      <alignment horizontal="left" vertical="top"/>
    </xf>
    <xf numFmtId="0" fontId="3" fillId="0" borderId="29" xfId="0" applyNumberFormat="1" applyFont="1" applyFill="1" applyBorder="1" applyAlignment="1">
      <alignment horizontal="left" vertical="top"/>
    </xf>
    <xf numFmtId="0" fontId="2" fillId="0" borderId="33" xfId="27" applyNumberFormat="1" applyFont="1" applyFill="1" applyBorder="1" applyAlignment="1">
      <alignment horizontal="left" vertical="top" wrapText="1"/>
    </xf>
    <xf numFmtId="0" fontId="2" fillId="0" borderId="29" xfId="27" applyNumberFormat="1" applyFont="1" applyFill="1" applyBorder="1" applyAlignment="1">
      <alignment horizontal="left" vertical="top"/>
    </xf>
    <xf numFmtId="0" fontId="3" fillId="0" borderId="33" xfId="0" applyFont="1" applyFill="1" applyBorder="1" applyAlignment="1">
      <alignment horizontal="left" vertical="top" wrapText="1"/>
    </xf>
    <xf numFmtId="0" fontId="3" fillId="0" borderId="33" xfId="0" applyFont="1" applyFill="1" applyBorder="1" applyAlignment="1">
      <alignment horizontal="left" vertical="top"/>
    </xf>
    <xf numFmtId="0" fontId="3" fillId="0" borderId="28" xfId="0" applyNumberFormat="1" applyFont="1" applyFill="1" applyBorder="1" applyAlignment="1">
      <alignment horizontal="left" vertical="top" wrapText="1"/>
    </xf>
    <xf numFmtId="0" fontId="2" fillId="0" borderId="28" xfId="27" applyFont="1" applyFill="1" applyBorder="1" applyAlignment="1">
      <alignment horizontal="left" vertical="top" wrapText="1"/>
    </xf>
    <xf numFmtId="0" fontId="105" fillId="0" borderId="33" xfId="0" applyNumberFormat="1" applyFont="1" applyFill="1" applyBorder="1" applyAlignment="1">
      <alignment horizontal="left" vertical="top" wrapText="1"/>
    </xf>
    <xf numFmtId="0" fontId="105" fillId="0" borderId="33" xfId="0" applyFont="1" applyFill="1" applyBorder="1" applyAlignment="1">
      <alignment horizontal="left" vertical="top" wrapText="1"/>
    </xf>
    <xf numFmtId="0" fontId="9" fillId="0" borderId="93" xfId="0" applyFont="1" applyFill="1" applyBorder="1" applyAlignment="1">
      <alignment horizontal="center" vertical="center" wrapText="1"/>
    </xf>
    <xf numFmtId="0" fontId="9" fillId="0" borderId="16" xfId="0" applyFont="1" applyFill="1" applyBorder="1" applyAlignment="1">
      <alignment horizontal="center" vertical="center" wrapText="1"/>
    </xf>
    <xf numFmtId="0" fontId="12" fillId="26" borderId="94" xfId="0" applyFont="1" applyFill="1" applyBorder="1" applyAlignment="1">
      <alignment horizontal="center" vertical="center" wrapText="1"/>
    </xf>
    <xf numFmtId="0" fontId="12" fillId="26" borderId="17" xfId="0" applyFont="1" applyFill="1" applyBorder="1" applyAlignment="1">
      <alignment horizontal="center" vertical="center" wrapText="1"/>
    </xf>
    <xf numFmtId="0" fontId="12" fillId="26" borderId="18" xfId="0" applyFont="1" applyFill="1" applyBorder="1" applyAlignment="1">
      <alignment horizontal="center" vertical="center" wrapText="1"/>
    </xf>
    <xf numFmtId="0" fontId="12" fillId="26" borderId="95" xfId="0" applyFont="1" applyFill="1" applyBorder="1" applyAlignment="1">
      <alignment horizontal="center" vertical="center" wrapText="1"/>
    </xf>
    <xf numFmtId="0" fontId="12" fillId="26" borderId="14" xfId="0" applyFont="1" applyFill="1" applyBorder="1" applyAlignment="1">
      <alignment horizontal="center" vertical="center" wrapText="1"/>
    </xf>
    <xf numFmtId="0" fontId="12" fillId="26" borderId="13" xfId="0" applyFont="1" applyFill="1" applyBorder="1" applyAlignment="1">
      <alignment horizontal="center" vertical="center" wrapText="1"/>
    </xf>
    <xf numFmtId="0" fontId="9" fillId="26" borderId="37" xfId="0" applyFont="1" applyFill="1" applyBorder="1" applyAlignment="1">
      <alignment horizontal="center" vertical="center" wrapText="1"/>
    </xf>
    <xf numFmtId="0" fontId="0" fillId="26" borderId="92" xfId="0" applyFill="1" applyBorder="1" applyAlignment="1">
      <alignment horizontal="center" vertical="center" wrapText="1"/>
    </xf>
    <xf numFmtId="0" fontId="9" fillId="26" borderId="13" xfId="0" applyFont="1" applyFill="1" applyBorder="1" applyAlignment="1">
      <alignment horizontal="center" vertical="center" wrapText="1"/>
    </xf>
    <xf numFmtId="0" fontId="9" fillId="26" borderId="43" xfId="0" applyFont="1" applyFill="1" applyBorder="1" applyAlignment="1">
      <alignment horizontal="center" vertical="center" wrapText="1"/>
    </xf>
    <xf numFmtId="0" fontId="9" fillId="0" borderId="20" xfId="0" applyFont="1" applyFill="1" applyBorder="1" applyAlignment="1">
      <alignment horizontal="center" vertical="center" wrapText="1"/>
    </xf>
    <xf numFmtId="0" fontId="9" fillId="0" borderId="15" xfId="0" applyFont="1" applyFill="1" applyBorder="1" applyAlignment="1">
      <alignment horizontal="center" vertical="center" wrapText="1"/>
    </xf>
    <xf numFmtId="0" fontId="0" fillId="0" borderId="0" xfId="0" applyBorder="1" applyAlignment="1">
      <alignment horizontal="center" wrapText="1"/>
    </xf>
    <xf numFmtId="0" fontId="9" fillId="0" borderId="0" xfId="0" applyFont="1" applyBorder="1" applyAlignment="1">
      <alignment horizontal="center" vertical="center" wrapText="1"/>
    </xf>
    <xf numFmtId="0" fontId="0" fillId="0" borderId="0" xfId="0" applyBorder="1" applyAlignment="1">
      <alignment horizontal="center" vertical="center" wrapText="1"/>
    </xf>
    <xf numFmtId="0" fontId="9" fillId="26" borderId="91" xfId="0" applyFont="1" applyFill="1" applyBorder="1" applyAlignment="1">
      <alignment horizontal="center" vertical="center" wrapText="1"/>
    </xf>
    <xf numFmtId="0" fontId="0" fillId="26" borderId="37" xfId="0" applyFill="1" applyBorder="1" applyAlignment="1">
      <alignment horizontal="center" vertical="center" wrapText="1"/>
    </xf>
    <xf numFmtId="0" fontId="9" fillId="26" borderId="19" xfId="0" applyFont="1" applyFill="1" applyBorder="1" applyAlignment="1">
      <alignment horizontal="center" vertical="center" wrapText="1"/>
    </xf>
    <xf numFmtId="0" fontId="9" fillId="26" borderId="20" xfId="0" applyFont="1" applyFill="1" applyBorder="1" applyAlignment="1">
      <alignment horizontal="center" vertical="center" wrapText="1"/>
    </xf>
    <xf numFmtId="0" fontId="0" fillId="21" borderId="19" xfId="0" applyFill="1" applyBorder="1" applyAlignment="1">
      <alignment horizontal="center"/>
    </xf>
    <xf numFmtId="0" fontId="0" fillId="21" borderId="37" xfId="0" applyFill="1" applyBorder="1" applyAlignment="1">
      <alignment horizontal="center"/>
    </xf>
    <xf numFmtId="0" fontId="0" fillId="21" borderId="20" xfId="0" applyFill="1" applyBorder="1" applyAlignment="1">
      <alignment horizontal="center"/>
    </xf>
    <xf numFmtId="0" fontId="44" fillId="25" borderId="17" xfId="0" applyFont="1" applyFill="1" applyBorder="1" applyAlignment="1">
      <alignment horizontal="center"/>
    </xf>
    <xf numFmtId="0" fontId="44" fillId="25" borderId="0" xfId="0" applyFont="1" applyFill="1" applyBorder="1" applyAlignment="1">
      <alignment horizontal="center"/>
    </xf>
    <xf numFmtId="0" fontId="19" fillId="0" borderId="2" xfId="0" applyFont="1" applyFill="1" applyBorder="1" applyAlignment="1" applyProtection="1">
      <alignment horizontal="left" vertical="top"/>
      <protection locked="0"/>
    </xf>
    <xf numFmtId="0" fontId="20" fillId="0" borderId="3" xfId="0" applyFont="1" applyFill="1" applyBorder="1" applyAlignment="1" applyProtection="1">
      <alignment horizontal="left" vertical="top"/>
      <protection locked="0"/>
    </xf>
    <xf numFmtId="0" fontId="20" fillId="0" borderId="4" xfId="0" applyFont="1" applyFill="1" applyBorder="1" applyAlignment="1" applyProtection="1">
      <alignment horizontal="left" vertical="top"/>
      <protection locked="0"/>
    </xf>
    <xf numFmtId="0" fontId="20" fillId="0" borderId="5" xfId="0" applyFont="1" applyFill="1" applyBorder="1" applyAlignment="1" applyProtection="1">
      <alignment horizontal="left" vertical="top"/>
      <protection locked="0"/>
    </xf>
    <xf numFmtId="0" fontId="20" fillId="0" borderId="0" xfId="0" applyFont="1" applyFill="1" applyBorder="1" applyAlignment="1" applyProtection="1">
      <alignment horizontal="left" vertical="top"/>
      <protection locked="0"/>
    </xf>
    <xf numFmtId="0" fontId="20" fillId="0" borderId="6" xfId="0" applyFont="1" applyFill="1" applyBorder="1" applyAlignment="1" applyProtection="1">
      <alignment horizontal="left" vertical="top"/>
      <protection locked="0"/>
    </xf>
    <xf numFmtId="0" fontId="20" fillId="0" borderId="7" xfId="0" applyFont="1" applyFill="1" applyBorder="1" applyAlignment="1" applyProtection="1">
      <alignment horizontal="left" vertical="top"/>
      <protection locked="0"/>
    </xf>
    <xf numFmtId="0" fontId="20" fillId="0" borderId="8" xfId="0" applyFont="1" applyFill="1" applyBorder="1" applyAlignment="1" applyProtection="1">
      <alignment horizontal="left" vertical="top"/>
      <protection locked="0"/>
    </xf>
    <xf numFmtId="0" fontId="20" fillId="0" borderId="9" xfId="0" applyFont="1" applyFill="1" applyBorder="1" applyAlignment="1" applyProtection="1">
      <alignment horizontal="left" vertical="top"/>
      <protection locked="0"/>
    </xf>
    <xf numFmtId="0" fontId="11" fillId="0" borderId="1" xfId="0" applyFont="1" applyFill="1" applyBorder="1" applyAlignment="1" applyProtection="1">
      <alignment horizontal="center" vertical="top"/>
      <protection locked="0"/>
    </xf>
    <xf numFmtId="0" fontId="11" fillId="17" borderId="0" xfId="0" applyFont="1" applyFill="1" applyBorder="1" applyAlignment="1" applyProtection="1">
      <alignment horizontal="left" vertical="top"/>
      <protection locked="0"/>
    </xf>
    <xf numFmtId="0" fontId="17" fillId="0" borderId="77" xfId="0" applyFont="1" applyFill="1" applyBorder="1" applyAlignment="1" applyProtection="1">
      <alignment horizontal="left" vertical="top"/>
      <protection locked="0"/>
    </xf>
    <xf numFmtId="0" fontId="16" fillId="0" borderId="78" xfId="0" applyFont="1" applyFill="1" applyBorder="1" applyAlignment="1" applyProtection="1">
      <alignment horizontal="left" vertical="top"/>
      <protection locked="0"/>
    </xf>
    <xf numFmtId="0" fontId="11" fillId="17" borderId="8" xfId="0" applyFont="1" applyFill="1" applyBorder="1" applyAlignment="1" applyProtection="1">
      <alignment horizontal="left"/>
      <protection locked="0"/>
    </xf>
    <xf numFmtId="0" fontId="11" fillId="19" borderId="2" xfId="0" applyFont="1" applyFill="1" applyBorder="1" applyAlignment="1" applyProtection="1">
      <alignment horizontal="left" vertical="top"/>
      <protection locked="0"/>
    </xf>
    <xf numFmtId="0" fontId="11" fillId="19" borderId="3" xfId="0" applyFont="1" applyFill="1" applyBorder="1" applyAlignment="1" applyProtection="1">
      <alignment horizontal="left" vertical="top"/>
      <protection locked="0"/>
    </xf>
    <xf numFmtId="0" fontId="11" fillId="19" borderId="4" xfId="0" applyFont="1" applyFill="1" applyBorder="1" applyAlignment="1" applyProtection="1">
      <alignment horizontal="left" vertical="top"/>
      <protection locked="0"/>
    </xf>
    <xf numFmtId="0" fontId="11" fillId="19" borderId="5" xfId="0" applyFont="1" applyFill="1" applyBorder="1" applyAlignment="1" applyProtection="1">
      <alignment horizontal="left" vertical="top"/>
      <protection locked="0"/>
    </xf>
    <xf numFmtId="0" fontId="11" fillId="19" borderId="0" xfId="0" applyFont="1" applyFill="1" applyBorder="1" applyAlignment="1" applyProtection="1">
      <alignment horizontal="left" vertical="top"/>
      <protection locked="0"/>
    </xf>
    <xf numFmtId="0" fontId="11" fillId="19" borderId="6" xfId="0" applyFont="1" applyFill="1" applyBorder="1" applyAlignment="1" applyProtection="1">
      <alignment horizontal="left" vertical="top"/>
      <protection locked="0"/>
    </xf>
    <xf numFmtId="0" fontId="11" fillId="19" borderId="7" xfId="0" applyFont="1" applyFill="1" applyBorder="1" applyAlignment="1" applyProtection="1">
      <alignment horizontal="left" vertical="top"/>
      <protection locked="0"/>
    </xf>
    <xf numFmtId="0" fontId="11" fillId="19" borderId="8" xfId="0" applyFont="1" applyFill="1" applyBorder="1" applyAlignment="1" applyProtection="1">
      <alignment horizontal="left" vertical="top"/>
      <protection locked="0"/>
    </xf>
    <xf numFmtId="0" fontId="11" fillId="19" borderId="9" xfId="0" applyFont="1" applyFill="1" applyBorder="1" applyAlignment="1" applyProtection="1">
      <alignment horizontal="left" vertical="top"/>
      <protection locked="0"/>
    </xf>
    <xf numFmtId="0" fontId="9" fillId="0" borderId="1" xfId="0" applyFont="1" applyFill="1" applyBorder="1" applyAlignment="1" applyProtection="1">
      <alignment horizontal="center" vertical="center"/>
      <protection locked="0"/>
    </xf>
  </cellXfs>
  <cellStyles count="35">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Currency 2" xfId="19" xr:uid="{00000000-0005-0000-0000-000012000000}"/>
    <cellStyle name="Currency 2 2" xfId="20" xr:uid="{00000000-0005-0000-0000-000013000000}"/>
    <cellStyle name="Currency 3" xfId="21" xr:uid="{00000000-0005-0000-0000-000014000000}"/>
    <cellStyle name="Currency 3 2" xfId="22" xr:uid="{00000000-0005-0000-0000-000015000000}"/>
    <cellStyle name="Neutral" xfId="23" builtinId="28" customBuiltin="1"/>
    <cellStyle name="Normal" xfId="0" builtinId="0"/>
    <cellStyle name="Normal 2" xfId="24" xr:uid="{00000000-0005-0000-0000-000018000000}"/>
    <cellStyle name="Normal 2 2" xfId="25" xr:uid="{00000000-0005-0000-0000-000019000000}"/>
    <cellStyle name="Normal 2_8D Tutorial and 8D mistakes" xfId="26" xr:uid="{00000000-0005-0000-0000-00001A000000}"/>
    <cellStyle name="Normal 3" xfId="27" xr:uid="{00000000-0005-0000-0000-00001B000000}"/>
    <cellStyle name="Normalny_8D Quality Summary version FAU-F-LSG-0232 en-de_version_NESD_v22" xfId="28" xr:uid="{00000000-0005-0000-0000-00001D000000}"/>
    <cellStyle name="smaller" xfId="29" xr:uid="{00000000-0005-0000-0000-00001E000000}"/>
    <cellStyle name="Standard 2" xfId="30" xr:uid="{00000000-0005-0000-0000-00001F000000}"/>
    <cellStyle name="Standard 2 2" xfId="31" xr:uid="{00000000-0005-0000-0000-000020000000}"/>
    <cellStyle name="Standard 2_8D Tutorial and 8D mistakes" xfId="32" xr:uid="{00000000-0005-0000-0000-000021000000}"/>
    <cellStyle name="Standard_SQA_Supplier_Quality_Assurance_Guidelines_FAU-F-SPG-3509-EN2" xfId="33" xr:uid="{00000000-0005-0000-0000-000022000000}"/>
    <cellStyle name="標準_Master" xfId="34" xr:uid="{00000000-0005-0000-0000-000023000000}"/>
  </cellStyles>
  <dxfs count="24">
    <dxf>
      <font>
        <b/>
        <i val="0"/>
        <strike/>
        <condense val="0"/>
        <extend val="0"/>
        <color indexed="10"/>
      </font>
      <fill>
        <patternFill>
          <bgColor indexed="43"/>
        </patternFill>
      </fill>
      <border>
        <left/>
        <right/>
        <top/>
        <bottom/>
      </border>
    </dxf>
    <dxf>
      <font>
        <b/>
        <i val="0"/>
        <strike val="0"/>
        <condense val="0"/>
        <extend val="0"/>
        <u/>
        <color indexed="10"/>
      </font>
    </dxf>
    <dxf>
      <font>
        <b/>
        <i val="0"/>
        <condense val="0"/>
        <extend val="0"/>
        <color indexed="9"/>
      </font>
      <fill>
        <patternFill>
          <bgColor indexed="26"/>
        </patternFill>
      </fill>
    </dxf>
    <dxf>
      <font>
        <condense val="0"/>
        <extend val="0"/>
        <color indexed="43"/>
      </font>
      <fill>
        <patternFill>
          <bgColor indexed="43"/>
        </patternFill>
      </fill>
      <border>
        <left/>
        <right/>
        <top/>
        <bottom/>
      </border>
    </dxf>
    <dxf>
      <font>
        <condense val="0"/>
        <extend val="0"/>
        <color indexed="9"/>
      </font>
      <fill>
        <patternFill>
          <bgColor indexed="51"/>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42"/>
      </font>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condense val="0"/>
        <extend val="0"/>
        <color indexed="43"/>
      </font>
    </dxf>
    <dxf>
      <font>
        <condense val="0"/>
        <extend val="0"/>
        <color indexed="9"/>
      </font>
      <fill>
        <patternFill>
          <bgColor indexed="10"/>
        </patternFill>
      </fill>
    </dxf>
    <dxf>
      <font>
        <b/>
        <i val="0"/>
        <condense val="0"/>
        <extend val="0"/>
        <color indexed="9"/>
      </font>
      <fill>
        <patternFill>
          <bgColor indexed="10"/>
        </patternFill>
      </fill>
    </dxf>
    <dxf>
      <border>
        <left style="dashDot">
          <color indexed="46"/>
        </left>
        <right style="dashDot">
          <color indexed="46"/>
        </right>
        <top style="dashDot">
          <color indexed="46"/>
        </top>
        <bottom style="dashDot">
          <color indexed="46"/>
        </bottom>
      </border>
    </dxf>
    <dxf>
      <border>
        <left style="dashDot">
          <color indexed="46"/>
        </left>
        <right style="dashDot">
          <color indexed="46"/>
        </right>
        <top style="dashDot">
          <color indexed="46"/>
        </top>
        <bottom style="dashDot">
          <color indexed="46"/>
        </bottom>
      </border>
    </dxf>
    <dxf>
      <border>
        <left style="dashDot">
          <color indexed="46"/>
        </left>
        <right style="dashDot">
          <color indexed="46"/>
        </right>
        <top style="dashDot">
          <color indexed="46"/>
        </top>
        <bottom style="dashDot">
          <color indexed="46"/>
        </bottom>
      </border>
    </dxf>
    <dxf>
      <font>
        <condense val="0"/>
        <extend val="0"/>
        <color indexed="9"/>
      </font>
    </dxf>
    <dxf>
      <font>
        <b/>
        <i val="0"/>
        <condense val="0"/>
        <extend val="0"/>
        <color indexed="9"/>
      </font>
      <fill>
        <patternFill>
          <bgColor indexed="26"/>
        </patternFill>
      </fill>
    </dxf>
    <dxf>
      <font>
        <condense val="0"/>
        <extend val="0"/>
        <color indexed="9"/>
      </font>
      <fill>
        <patternFill>
          <bgColor indexed="51"/>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42"/>
      </font>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condense val="0"/>
        <extend val="0"/>
        <color indexed="43"/>
      </font>
    </dxf>
    <dxf>
      <font>
        <b/>
        <i val="0"/>
        <condense val="0"/>
        <extend val="0"/>
        <color indexed="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3.8759726600092546E-2"/>
          <c:y val="6.7024216425383892E-2"/>
          <c:w val="0.94767531537226279"/>
          <c:h val="0.66488022693980886"/>
        </c:manualLayout>
      </c:layout>
      <c:lineChart>
        <c:grouping val="standard"/>
        <c:varyColors val="0"/>
        <c:ser>
          <c:idx val="0"/>
          <c:order val="0"/>
          <c:tx>
            <c:v>Customer</c:v>
          </c:tx>
          <c:spPr>
            <a:ln w="25400">
              <a:solidFill>
                <a:srgbClr val="FF0000"/>
              </a:solidFill>
              <a:prstDash val="solid"/>
            </a:ln>
          </c:spPr>
          <c:marker>
            <c:symbol val="diamond"/>
            <c:size val="7"/>
            <c:spPr>
              <a:solidFill>
                <a:srgbClr val="FF0000"/>
              </a:solidFill>
              <a:ln>
                <a:solidFill>
                  <a:srgbClr val="FF0000"/>
                </a:solidFill>
                <a:prstDash val="solid"/>
              </a:ln>
            </c:spPr>
          </c:marker>
          <c:cat>
            <c:numRef>
              <c:f>'Statistics (D3+D7)'!$D$3:$BP$3</c:f>
              <c:numCache>
                <c:formatCode>d/m/yy;@</c:formatCode>
                <c:ptCount val="65"/>
                <c:pt idx="0">
                  <c:v>-3</c:v>
                </c:pt>
                <c:pt idx="1">
                  <c:v>-2</c:v>
                </c:pt>
                <c:pt idx="2">
                  <c:v>-1</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numCache>
            </c:numRef>
          </c:cat>
          <c:val>
            <c:numRef>
              <c:f>'Statistics (D3+D7)'!$D$4:$BP$4</c:f>
              <c:numCache>
                <c:formatCode>General</c:formatCode>
                <c:ptCount val="65"/>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0-984F-447D-AAEB-05B5290547DE}"/>
            </c:ext>
          </c:extLst>
        </c:ser>
        <c:ser>
          <c:idx val="1"/>
          <c:order val="1"/>
          <c:tx>
            <c:v>Faurecia </c:v>
          </c:tx>
          <c:spPr>
            <a:ln w="12700">
              <a:solidFill>
                <a:srgbClr val="3366FF"/>
              </a:solidFill>
              <a:prstDash val="solid"/>
            </a:ln>
          </c:spPr>
          <c:marker>
            <c:symbol val="square"/>
            <c:size val="5"/>
            <c:spPr>
              <a:solidFill>
                <a:srgbClr val="3366FF"/>
              </a:solidFill>
              <a:ln>
                <a:solidFill>
                  <a:srgbClr val="3366FF"/>
                </a:solidFill>
                <a:prstDash val="solid"/>
              </a:ln>
            </c:spPr>
          </c:marker>
          <c:cat>
            <c:numRef>
              <c:f>'Statistics (D3+D7)'!$D$3:$BP$3</c:f>
              <c:numCache>
                <c:formatCode>d/m/yy;@</c:formatCode>
                <c:ptCount val="65"/>
                <c:pt idx="0">
                  <c:v>-3</c:v>
                </c:pt>
                <c:pt idx="1">
                  <c:v>-2</c:v>
                </c:pt>
                <c:pt idx="2">
                  <c:v>-1</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numCache>
            </c:numRef>
          </c:cat>
          <c:val>
            <c:numRef>
              <c:f>'Statistics (D3+D7)'!$D$10:$BP$10</c:f>
              <c:numCache>
                <c:formatCode>General</c:formatCode>
                <c:ptCount val="65"/>
                <c:pt idx="0">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1-984F-447D-AAEB-05B5290547DE}"/>
            </c:ext>
          </c:extLst>
        </c:ser>
        <c:ser>
          <c:idx val="2"/>
          <c:order val="2"/>
          <c:tx>
            <c:v>Supplier (Quality wall)</c:v>
          </c:tx>
          <c:spPr>
            <a:ln w="12700">
              <a:solidFill>
                <a:srgbClr val="333333"/>
              </a:solidFill>
              <a:prstDash val="solid"/>
            </a:ln>
          </c:spPr>
          <c:marker>
            <c:symbol val="triangle"/>
            <c:size val="5"/>
            <c:spPr>
              <a:solidFill>
                <a:srgbClr val="333333"/>
              </a:solidFill>
              <a:ln>
                <a:solidFill>
                  <a:srgbClr val="333333"/>
                </a:solidFill>
                <a:prstDash val="solid"/>
              </a:ln>
            </c:spPr>
          </c:marker>
          <c:cat>
            <c:numRef>
              <c:f>'Statistics (D3+D7)'!$D$3:$BP$3</c:f>
              <c:numCache>
                <c:formatCode>d/m/yy;@</c:formatCode>
                <c:ptCount val="65"/>
                <c:pt idx="0">
                  <c:v>-3</c:v>
                </c:pt>
                <c:pt idx="1">
                  <c:v>-2</c:v>
                </c:pt>
                <c:pt idx="2">
                  <c:v>-1</c:v>
                </c:pt>
                <c:pt idx="3">
                  <c:v>0</c:v>
                </c:pt>
                <c:pt idx="4">
                  <c:v>1</c:v>
                </c:pt>
                <c:pt idx="5">
                  <c:v>2</c:v>
                </c:pt>
                <c:pt idx="6">
                  <c:v>3</c:v>
                </c:pt>
                <c:pt idx="7">
                  <c:v>4</c:v>
                </c:pt>
                <c:pt idx="8">
                  <c:v>5</c:v>
                </c:pt>
                <c:pt idx="9">
                  <c:v>6</c:v>
                </c:pt>
                <c:pt idx="10">
                  <c:v>7</c:v>
                </c:pt>
                <c:pt idx="11">
                  <c:v>8</c:v>
                </c:pt>
                <c:pt idx="12">
                  <c:v>9</c:v>
                </c:pt>
                <c:pt idx="13">
                  <c:v>10</c:v>
                </c:pt>
                <c:pt idx="14">
                  <c:v>11</c:v>
                </c:pt>
                <c:pt idx="15">
                  <c:v>12</c:v>
                </c:pt>
                <c:pt idx="16">
                  <c:v>13</c:v>
                </c:pt>
                <c:pt idx="17">
                  <c:v>14</c:v>
                </c:pt>
                <c:pt idx="18">
                  <c:v>15</c:v>
                </c:pt>
                <c:pt idx="19">
                  <c:v>16</c:v>
                </c:pt>
                <c:pt idx="20">
                  <c:v>17</c:v>
                </c:pt>
                <c:pt idx="21">
                  <c:v>18</c:v>
                </c:pt>
                <c:pt idx="22">
                  <c:v>19</c:v>
                </c:pt>
                <c:pt idx="23">
                  <c:v>20</c:v>
                </c:pt>
                <c:pt idx="24">
                  <c:v>21</c:v>
                </c:pt>
                <c:pt idx="25">
                  <c:v>22</c:v>
                </c:pt>
                <c:pt idx="26">
                  <c:v>23</c:v>
                </c:pt>
                <c:pt idx="27">
                  <c:v>24</c:v>
                </c:pt>
                <c:pt idx="28">
                  <c:v>25</c:v>
                </c:pt>
                <c:pt idx="29">
                  <c:v>26</c:v>
                </c:pt>
                <c:pt idx="30">
                  <c:v>27</c:v>
                </c:pt>
                <c:pt idx="31">
                  <c:v>28</c:v>
                </c:pt>
                <c:pt idx="32">
                  <c:v>29</c:v>
                </c:pt>
                <c:pt idx="33">
                  <c:v>30</c:v>
                </c:pt>
                <c:pt idx="34">
                  <c:v>31</c:v>
                </c:pt>
                <c:pt idx="35">
                  <c:v>32</c:v>
                </c:pt>
                <c:pt idx="36">
                  <c:v>33</c:v>
                </c:pt>
                <c:pt idx="37">
                  <c:v>34</c:v>
                </c:pt>
                <c:pt idx="38">
                  <c:v>35</c:v>
                </c:pt>
                <c:pt idx="39">
                  <c:v>36</c:v>
                </c:pt>
                <c:pt idx="40">
                  <c:v>37</c:v>
                </c:pt>
                <c:pt idx="41">
                  <c:v>38</c:v>
                </c:pt>
                <c:pt idx="42">
                  <c:v>39</c:v>
                </c:pt>
                <c:pt idx="43">
                  <c:v>40</c:v>
                </c:pt>
                <c:pt idx="44">
                  <c:v>41</c:v>
                </c:pt>
                <c:pt idx="45">
                  <c:v>42</c:v>
                </c:pt>
                <c:pt idx="46">
                  <c:v>43</c:v>
                </c:pt>
                <c:pt idx="47">
                  <c:v>44</c:v>
                </c:pt>
                <c:pt idx="48">
                  <c:v>45</c:v>
                </c:pt>
                <c:pt idx="49">
                  <c:v>46</c:v>
                </c:pt>
                <c:pt idx="50">
                  <c:v>47</c:v>
                </c:pt>
                <c:pt idx="51">
                  <c:v>48</c:v>
                </c:pt>
                <c:pt idx="52">
                  <c:v>49</c:v>
                </c:pt>
                <c:pt idx="53">
                  <c:v>50</c:v>
                </c:pt>
                <c:pt idx="54">
                  <c:v>51</c:v>
                </c:pt>
                <c:pt idx="55">
                  <c:v>52</c:v>
                </c:pt>
                <c:pt idx="56">
                  <c:v>53</c:v>
                </c:pt>
                <c:pt idx="57">
                  <c:v>54</c:v>
                </c:pt>
                <c:pt idx="58">
                  <c:v>55</c:v>
                </c:pt>
                <c:pt idx="59">
                  <c:v>56</c:v>
                </c:pt>
                <c:pt idx="60">
                  <c:v>57</c:v>
                </c:pt>
                <c:pt idx="61">
                  <c:v>58</c:v>
                </c:pt>
                <c:pt idx="62">
                  <c:v>59</c:v>
                </c:pt>
                <c:pt idx="63">
                  <c:v>60</c:v>
                </c:pt>
                <c:pt idx="64">
                  <c:v>61</c:v>
                </c:pt>
              </c:numCache>
            </c:numRef>
          </c:cat>
          <c:val>
            <c:numRef>
              <c:f>'Statistics (D3+D7)'!$D$16:$BP$16</c:f>
              <c:numCache>
                <c:formatCode>General</c:formatCode>
                <c:ptCount val="65"/>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Cache>
            </c:numRef>
          </c:val>
          <c:smooth val="0"/>
          <c:extLst>
            <c:ext xmlns:c16="http://schemas.microsoft.com/office/drawing/2014/chart" uri="{C3380CC4-5D6E-409C-BE32-E72D297353CC}">
              <c16:uniqueId val="{00000002-984F-447D-AAEB-05B5290547DE}"/>
            </c:ext>
          </c:extLst>
        </c:ser>
        <c:dLbls>
          <c:showLegendKey val="0"/>
          <c:showVal val="0"/>
          <c:showCatName val="0"/>
          <c:showSerName val="0"/>
          <c:showPercent val="0"/>
          <c:showBubbleSize val="0"/>
        </c:dLbls>
        <c:marker val="1"/>
        <c:smooth val="0"/>
        <c:axId val="173003904"/>
        <c:axId val="173005824"/>
      </c:lineChart>
      <c:dateAx>
        <c:axId val="173003904"/>
        <c:scaling>
          <c:orientation val="minMax"/>
        </c:scaling>
        <c:delete val="0"/>
        <c:axPos val="b"/>
        <c:numFmt formatCode="d/mm;@" sourceLinked="0"/>
        <c:majorTickMark val="out"/>
        <c:minorTickMark val="none"/>
        <c:tickLblPos val="nextTo"/>
        <c:spPr>
          <a:ln w="3175">
            <a:solidFill>
              <a:srgbClr val="000000"/>
            </a:solidFill>
            <a:prstDash val="solid"/>
          </a:ln>
        </c:spPr>
        <c:txPr>
          <a:bodyPr rot="-2700000" vert="horz"/>
          <a:lstStyle/>
          <a:p>
            <a:pPr>
              <a:defRPr sz="1200" b="0" i="0" u="none" strike="noStrike" baseline="0">
                <a:solidFill>
                  <a:srgbClr val="000000"/>
                </a:solidFill>
                <a:latin typeface="Arial"/>
                <a:ea typeface="Arial"/>
                <a:cs typeface="Arial"/>
              </a:defRPr>
            </a:pPr>
            <a:endParaRPr lang="es-ES"/>
          </a:p>
        </c:txPr>
        <c:crossAx val="173005824"/>
        <c:crosses val="autoZero"/>
        <c:auto val="1"/>
        <c:lblOffset val="100"/>
        <c:baseTimeUnit val="days"/>
        <c:majorUnit val="2"/>
        <c:minorUnit val="1"/>
      </c:dateAx>
      <c:valAx>
        <c:axId val="173005824"/>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ES"/>
          </a:p>
        </c:txPr>
        <c:crossAx val="173003904"/>
        <c:crosses val="autoZero"/>
        <c:crossBetween val="between"/>
      </c:valAx>
      <c:spPr>
        <a:solidFill>
          <a:srgbClr val="FFFFFF"/>
        </a:solidFill>
        <a:ln w="12700">
          <a:solidFill>
            <a:srgbClr val="FFFFFF"/>
          </a:solidFill>
          <a:prstDash val="solid"/>
        </a:ln>
      </c:spPr>
    </c:plotArea>
    <c:legend>
      <c:legendPos val="r"/>
      <c:layout>
        <c:manualLayout>
          <c:xMode val="edge"/>
          <c:yMode val="edge"/>
          <c:x val="0.34205458724581672"/>
          <c:y val="0.91473099041856032"/>
          <c:w val="0.3410855940808144"/>
          <c:h val="6.2015660367360018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s-E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s-ES"/>
    </a:p>
  </c:txPr>
  <c:printSettings>
    <c:headerFooter alignWithMargins="0"/>
    <c:pageMargins b="0.98425196899999956" l="0.75000000000000056" r="0.75000000000000056" t="0.98425196899999956" header="0.49212598450000034" footer="0.49212598450000034"/>
    <c:pageSetup/>
  </c:printSettings>
</c:chartSpace>
</file>

<file path=xl/ctrlProps/ctrlProp1.xml><?xml version="1.0" encoding="utf-8"?>
<formControlPr xmlns="http://schemas.microsoft.com/office/spreadsheetml/2009/9/main" objectType="CheckBox" fmlaLink="$A$205" lockText="1" noThreeD="1"/>
</file>

<file path=xl/ctrlProps/ctrlProp2.xml><?xml version="1.0" encoding="utf-8"?>
<formControlPr xmlns="http://schemas.microsoft.com/office/spreadsheetml/2009/9/main" objectType="CheckBox" fmlaLink="$A$204" lockText="1" noThreeD="1"/>
</file>

<file path=xl/ctrlProps/ctrlProp3.xml><?xml version="1.0" encoding="utf-8"?>
<formControlPr xmlns="http://schemas.microsoft.com/office/spreadsheetml/2009/9/main" objectType="CheckBox" fmlaLink="$A$212" lockText="1" noThreeD="1"/>
</file>

<file path=xl/ctrlProps/ctrlProp4.xml><?xml version="1.0" encoding="utf-8"?>
<formControlPr xmlns="http://schemas.microsoft.com/office/spreadsheetml/2009/9/main" objectType="CheckBox" fmlaLink="$A$211" lockText="1" noThreeD="1"/>
</file>

<file path=xl/ctrlProps/ctrlProp5.xml><?xml version="1.0" encoding="utf-8"?>
<formControlPr xmlns="http://schemas.microsoft.com/office/spreadsheetml/2009/9/main" objectType="Spin" dx="16" fmlaLink="$B$22" max="2" page="10" val="0"/>
</file>

<file path=xl/ctrlProps/ctrlProp6.xml><?xml version="1.0" encoding="utf-8"?>
<formControlPr xmlns="http://schemas.microsoft.com/office/spreadsheetml/2009/9/main" objectType="Spin" dx="16" fmlaLink="$B$2" max="2" page="10" val="2"/>
</file>

<file path=xl/ctrlProps/ctrlProp7.xml><?xml version="1.0" encoding="utf-8"?>
<formControlPr xmlns="http://schemas.microsoft.com/office/spreadsheetml/2009/9/main" objectType="Spin" dx="16" fmlaLink="$B$17" max="2" page="10" val="0"/>
</file>

<file path=xl/ctrlProps/ctrlProp8.xml><?xml version="1.0" encoding="utf-8"?>
<formControlPr xmlns="http://schemas.microsoft.com/office/spreadsheetml/2009/9/main" objectType="Spin" dx="16" fmlaLink="$L$17" max="2" page="10" val="0"/>
</file>

<file path=xl/ctrlProps/ctrlProp9.xml><?xml version="1.0" encoding="utf-8"?>
<formControlPr xmlns="http://schemas.microsoft.com/office/spreadsheetml/2009/9/main" objectType="Spin" dx="16" fmlaLink="$L$2" max="2" page="10" val="0"/>
</file>

<file path=xl/ctrlProps/ctrlProp10.xml><?xml version="1.0" encoding="utf-8"?>
<formControlPr xmlns="http://schemas.microsoft.com/office/spreadsheetml/2009/9/main" objectType="Spin" dx="16" fmlaLink="$R$26" max="2" page="10" val="0"/>
</file>

<file path=xl/ctrlProps/ctrlProp11.xml><?xml version="1.0" encoding="utf-8"?>
<formControlPr xmlns="http://schemas.microsoft.com/office/spreadsheetml/2009/9/main" objectType="Spin" dx="16" fmlaLink="$R$17" max="2" page="10" val="0"/>
</file>

<file path=xl/ctrlProps/ctrlProp12.xml><?xml version="1.0" encoding="utf-8"?>
<formControlPr xmlns="http://schemas.microsoft.com/office/spreadsheetml/2009/9/main" objectType="Spin" dx="16" fmlaLink="$R$2" max="2" page="10" val="0"/>
</file>

<file path=xl/ctrlProps/ctrlProp13.xml><?xml version="1.0" encoding="utf-8"?>
<formControlPr xmlns="http://schemas.microsoft.com/office/spreadsheetml/2009/9/main" objectType="CheckBox" fmlaLink="$A$210" lockText="1" noThreeD="1"/>
</file>

<file path=xl/ctrlProps/ctrlProp14.xml><?xml version="1.0" encoding="utf-8"?>
<formControlPr xmlns="http://schemas.microsoft.com/office/spreadsheetml/2009/9/main" objectType="CheckBox" fmlaLink="$A$207" lockText="1" noThreeD="1"/>
</file>

<file path=xl/ctrlProps/ctrlProp15.xml><?xml version="1.0" encoding="utf-8"?>
<formControlPr xmlns="http://schemas.microsoft.com/office/spreadsheetml/2009/9/main" objectType="CheckBox" fmlaLink="$A$209" lockText="1" noThreeD="1"/>
</file>

<file path=xl/ctrlProps/ctrlProp16.xml><?xml version="1.0" encoding="utf-8"?>
<formControlPr xmlns="http://schemas.microsoft.com/office/spreadsheetml/2009/9/main" objectType="CheckBox" fmlaLink="$A$213" lockText="1" noThreeD="1"/>
</file>

<file path=xl/ctrlProps/ctrlProp17.xml><?xml version="1.0" encoding="utf-8"?>
<formControlPr xmlns="http://schemas.microsoft.com/office/spreadsheetml/2009/9/main" objectType="CheckBox" fmlaLink="$A$214" lockText="1" noThreeD="1"/>
</file>

<file path=xl/ctrlProps/ctrlProp18.xml><?xml version="1.0" encoding="utf-8"?>
<formControlPr xmlns="http://schemas.microsoft.com/office/spreadsheetml/2009/9/main" objectType="Radio" firstButton="1" fmlaLink="$A$206"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CheckBox" checked="Checked" fmlaLink="$A$216" lockText="1" noThreeD="1"/>
</file>

<file path=xl/ctrlProps/ctrlProp21.xml><?xml version="1.0" encoding="utf-8"?>
<formControlPr xmlns="http://schemas.microsoft.com/office/spreadsheetml/2009/9/main" objectType="Radio" lockText="1"/>
</file>

<file path=xl/ctrlProps/ctrlProp22.xml><?xml version="1.0" encoding="utf-8"?>
<formControlPr xmlns="http://schemas.microsoft.com/office/spreadsheetml/2009/9/main" objectType="Radio" checked="Checked" lockText="1"/>
</file>

<file path=xl/ctrlProps/ctrlProp23.xml><?xml version="1.0" encoding="utf-8"?>
<formControlPr xmlns="http://schemas.microsoft.com/office/spreadsheetml/2009/9/main" objectType="CheckBox" fmlaLink="$B$203" lockText="1" noThreeD="1"/>
</file>

<file path=xl/ctrlProps/ctrlProp24.xml><?xml version="1.0" encoding="utf-8"?>
<formControlPr xmlns="http://schemas.microsoft.com/office/spreadsheetml/2009/9/main" objectType="CheckBox" fmlaLink="$B$205" lockText="1" noThreeD="1"/>
</file>

<file path=xl/ctrlProps/ctrlProp25.xml><?xml version="1.0" encoding="utf-8"?>
<formControlPr xmlns="http://schemas.microsoft.com/office/spreadsheetml/2009/9/main" objectType="CheckBox" fmlaLink="$B$204" lockText="1" noThreeD="1"/>
</file>

<file path=xl/ctrlProps/ctrlProp26.xml><?xml version="1.0" encoding="utf-8"?>
<formControlPr xmlns="http://schemas.microsoft.com/office/spreadsheetml/2009/9/main" objectType="CheckBox" fmlaLink="$A$219" lockText="1" noThreeD="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CheckBox" fmlaLink="$B$206" lockText="1" noThreeD="1"/>
</file>

<file path=xl/ctrlProps/ctrlProp29.xml><?xml version="1.0" encoding="utf-8"?>
<formControlPr xmlns="http://schemas.microsoft.com/office/spreadsheetml/2009/9/main" objectType="CheckBox" fmlaLink="$A$150" lockText="1" noThreeD="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CheckBox" fmlaLink="$A$150" lockText="1" noThreeD="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5</xdr:col>
      <xdr:colOff>309070</xdr:colOff>
      <xdr:row>0</xdr:row>
      <xdr:rowOff>856381</xdr:rowOff>
    </xdr:from>
    <xdr:to>
      <xdr:col>6</xdr:col>
      <xdr:colOff>209490</xdr:colOff>
      <xdr:row>0</xdr:row>
      <xdr:rowOff>1094506</xdr:rowOff>
    </xdr:to>
    <xdr:sp macro="" textlink="">
      <xdr:nvSpPr>
        <xdr:cNvPr id="51444" name="Text Box 244">
          <a:extLst>
            <a:ext uri="{FF2B5EF4-FFF2-40B4-BE49-F238E27FC236}">
              <a16:creationId xmlns:a16="http://schemas.microsoft.com/office/drawing/2014/main" id="{00000000-0008-0000-0100-0000F4C80000}"/>
            </a:ext>
          </a:extLst>
        </xdr:cNvPr>
        <xdr:cNvSpPr txBox="1">
          <a:spLocks noChangeArrowheads="1"/>
        </xdr:cNvSpPr>
      </xdr:nvSpPr>
      <xdr:spPr bwMode="auto">
        <a:xfrm>
          <a:off x="5551104" y="856381"/>
          <a:ext cx="708403" cy="238125"/>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3</xdr:col>
      <xdr:colOff>410316</xdr:colOff>
      <xdr:row>0</xdr:row>
      <xdr:rowOff>863308</xdr:rowOff>
    </xdr:from>
    <xdr:to>
      <xdr:col>3</xdr:col>
      <xdr:colOff>1219941</xdr:colOff>
      <xdr:row>0</xdr:row>
      <xdr:rowOff>1091908</xdr:rowOff>
    </xdr:to>
    <xdr:sp macro="" textlink="">
      <xdr:nvSpPr>
        <xdr:cNvPr id="51441" name="Text Box 241">
          <a:extLst>
            <a:ext uri="{FF2B5EF4-FFF2-40B4-BE49-F238E27FC236}">
              <a16:creationId xmlns:a16="http://schemas.microsoft.com/office/drawing/2014/main" id="{00000000-0008-0000-0100-0000F1C80000}"/>
            </a:ext>
          </a:extLst>
        </xdr:cNvPr>
        <xdr:cNvSpPr txBox="1">
          <a:spLocks noChangeArrowheads="1"/>
        </xdr:cNvSpPr>
      </xdr:nvSpPr>
      <xdr:spPr bwMode="auto">
        <a:xfrm>
          <a:off x="3172566" y="863308"/>
          <a:ext cx="809625" cy="22860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French</a:t>
          </a:r>
          <a:endParaRPr lang="en-GB"/>
        </a:p>
      </xdr:txBody>
    </xdr:sp>
    <xdr:clientData/>
  </xdr:twoCellAnchor>
  <xdr:twoCellAnchor>
    <xdr:from>
      <xdr:col>18</xdr:col>
      <xdr:colOff>609600</xdr:colOff>
      <xdr:row>25</xdr:row>
      <xdr:rowOff>104775</xdr:rowOff>
    </xdr:from>
    <xdr:to>
      <xdr:col>19</xdr:col>
      <xdr:colOff>1276350</xdr:colOff>
      <xdr:row>25</xdr:row>
      <xdr:rowOff>523875</xdr:rowOff>
    </xdr:to>
    <xdr:sp macro="" textlink="">
      <xdr:nvSpPr>
        <xdr:cNvPr id="51395" name="Text Box 195">
          <a:extLst>
            <a:ext uri="{FF2B5EF4-FFF2-40B4-BE49-F238E27FC236}">
              <a16:creationId xmlns:a16="http://schemas.microsoft.com/office/drawing/2014/main" id="{00000000-0008-0000-0100-0000C3C80000}"/>
            </a:ext>
          </a:extLst>
        </xdr:cNvPr>
        <xdr:cNvSpPr txBox="1">
          <a:spLocks noChangeArrowheads="1"/>
        </xdr:cNvSpPr>
      </xdr:nvSpPr>
      <xdr:spPr bwMode="auto">
        <a:xfrm>
          <a:off x="20907375" y="14382750"/>
          <a:ext cx="1695450" cy="41910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3366FF"/>
              </a:solidFill>
              <a:latin typeface="Arial"/>
              <a:cs typeface="Arial"/>
            </a:rPr>
            <a:t>D8 within 60 days</a:t>
          </a:r>
          <a:endParaRPr lang="en-GB"/>
        </a:p>
      </xdr:txBody>
    </xdr:sp>
    <xdr:clientData/>
  </xdr:twoCellAnchor>
  <xdr:twoCellAnchor>
    <xdr:from>
      <xdr:col>1</xdr:col>
      <xdr:colOff>312593</xdr:colOff>
      <xdr:row>0</xdr:row>
      <xdr:rowOff>862442</xdr:rowOff>
    </xdr:from>
    <xdr:to>
      <xdr:col>2</xdr:col>
      <xdr:colOff>826943</xdr:colOff>
      <xdr:row>0</xdr:row>
      <xdr:rowOff>1148192</xdr:rowOff>
    </xdr:to>
    <xdr:sp macro="" textlink="">
      <xdr:nvSpPr>
        <xdr:cNvPr id="51393" name="Text Box 193">
          <a:extLst>
            <a:ext uri="{FF2B5EF4-FFF2-40B4-BE49-F238E27FC236}">
              <a16:creationId xmlns:a16="http://schemas.microsoft.com/office/drawing/2014/main" id="{00000000-0008-0000-0100-0000C1C80000}"/>
            </a:ext>
          </a:extLst>
        </xdr:cNvPr>
        <xdr:cNvSpPr txBox="1">
          <a:spLocks noChangeArrowheads="1"/>
        </xdr:cNvSpPr>
      </xdr:nvSpPr>
      <xdr:spPr bwMode="auto">
        <a:xfrm>
          <a:off x="503093" y="862442"/>
          <a:ext cx="895350" cy="28575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English</a:t>
          </a:r>
          <a:endParaRPr lang="en-GB"/>
        </a:p>
      </xdr:txBody>
    </xdr:sp>
    <xdr:clientData/>
  </xdr:twoCellAnchor>
  <xdr:twoCellAnchor>
    <xdr:from>
      <xdr:col>2</xdr:col>
      <xdr:colOff>1315314</xdr:colOff>
      <xdr:row>0</xdr:row>
      <xdr:rowOff>853781</xdr:rowOff>
    </xdr:from>
    <xdr:to>
      <xdr:col>2</xdr:col>
      <xdr:colOff>2172564</xdr:colOff>
      <xdr:row>0</xdr:row>
      <xdr:rowOff>1091906</xdr:rowOff>
    </xdr:to>
    <xdr:sp macro="" textlink="">
      <xdr:nvSpPr>
        <xdr:cNvPr id="51394" name="Text Box 194">
          <a:extLst>
            <a:ext uri="{FF2B5EF4-FFF2-40B4-BE49-F238E27FC236}">
              <a16:creationId xmlns:a16="http://schemas.microsoft.com/office/drawing/2014/main" id="{00000000-0008-0000-0100-0000C2C80000}"/>
            </a:ext>
          </a:extLst>
        </xdr:cNvPr>
        <xdr:cNvSpPr txBox="1">
          <a:spLocks noChangeArrowheads="1"/>
        </xdr:cNvSpPr>
      </xdr:nvSpPr>
      <xdr:spPr bwMode="auto">
        <a:xfrm>
          <a:off x="1886814" y="853781"/>
          <a:ext cx="857250" cy="238125"/>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Deutsch</a:t>
          </a:r>
          <a:endParaRPr lang="en-GB"/>
        </a:p>
      </xdr:txBody>
    </xdr:sp>
    <xdr:clientData/>
  </xdr:twoCellAnchor>
  <xdr:twoCellAnchor>
    <xdr:from>
      <xdr:col>12</xdr:col>
      <xdr:colOff>419100</xdr:colOff>
      <xdr:row>16</xdr:row>
      <xdr:rowOff>76200</xdr:rowOff>
    </xdr:from>
    <xdr:to>
      <xdr:col>13</xdr:col>
      <xdr:colOff>1847850</xdr:colOff>
      <xdr:row>16</xdr:row>
      <xdr:rowOff>342900</xdr:rowOff>
    </xdr:to>
    <xdr:sp macro="" textlink="">
      <xdr:nvSpPr>
        <xdr:cNvPr id="51387" name="Text Box 187">
          <a:extLst>
            <a:ext uri="{FF2B5EF4-FFF2-40B4-BE49-F238E27FC236}">
              <a16:creationId xmlns:a16="http://schemas.microsoft.com/office/drawing/2014/main" id="{00000000-0008-0000-0100-0000BBC80000}"/>
            </a:ext>
          </a:extLst>
        </xdr:cNvPr>
        <xdr:cNvSpPr txBox="1">
          <a:spLocks noChangeArrowheads="1"/>
        </xdr:cNvSpPr>
      </xdr:nvSpPr>
      <xdr:spPr bwMode="auto">
        <a:xfrm>
          <a:off x="13001625" y="9353550"/>
          <a:ext cx="2971800" cy="26670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3366FF"/>
              </a:solidFill>
              <a:latin typeface="Arial"/>
              <a:cs typeface="Arial"/>
            </a:rPr>
            <a:t>Ishikawa / 5 WHY OK</a:t>
          </a:r>
          <a:endParaRPr lang="en-GB"/>
        </a:p>
      </xdr:txBody>
    </xdr:sp>
    <xdr:clientData/>
  </xdr:twoCellAnchor>
  <xdr:twoCellAnchor>
    <xdr:from>
      <xdr:col>18</xdr:col>
      <xdr:colOff>533400</xdr:colOff>
      <xdr:row>1</xdr:row>
      <xdr:rowOff>152400</xdr:rowOff>
    </xdr:from>
    <xdr:to>
      <xdr:col>19</xdr:col>
      <xdr:colOff>1447800</xdr:colOff>
      <xdr:row>1</xdr:row>
      <xdr:rowOff>571500</xdr:rowOff>
    </xdr:to>
    <xdr:sp macro="" textlink="">
      <xdr:nvSpPr>
        <xdr:cNvPr id="51362" name="Text Box 162">
          <a:extLst>
            <a:ext uri="{FF2B5EF4-FFF2-40B4-BE49-F238E27FC236}">
              <a16:creationId xmlns:a16="http://schemas.microsoft.com/office/drawing/2014/main" id="{00000000-0008-0000-0100-0000A2C80000}"/>
            </a:ext>
          </a:extLst>
        </xdr:cNvPr>
        <xdr:cNvSpPr txBox="1">
          <a:spLocks noChangeArrowheads="1"/>
        </xdr:cNvSpPr>
      </xdr:nvSpPr>
      <xdr:spPr bwMode="auto">
        <a:xfrm>
          <a:off x="20831175" y="314325"/>
          <a:ext cx="1943100" cy="41910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3366FF"/>
              </a:solidFill>
              <a:latin typeface="Arial"/>
              <a:cs typeface="Arial"/>
            </a:rPr>
            <a:t>D6 within 10 days?</a:t>
          </a:r>
          <a:endParaRPr lang="en-GB"/>
        </a:p>
      </xdr:txBody>
    </xdr:sp>
    <xdr:clientData/>
  </xdr:twoCellAnchor>
  <xdr:twoCellAnchor>
    <xdr:from>
      <xdr:col>6</xdr:col>
      <xdr:colOff>2247900</xdr:colOff>
      <xdr:row>19</xdr:row>
      <xdr:rowOff>1247775</xdr:rowOff>
    </xdr:from>
    <xdr:to>
      <xdr:col>6</xdr:col>
      <xdr:colOff>2886075</xdr:colOff>
      <xdr:row>21</xdr:row>
      <xdr:rowOff>781050</xdr:rowOff>
    </xdr:to>
    <xdr:sp macro="" textlink="">
      <xdr:nvSpPr>
        <xdr:cNvPr id="51346" name="Text Box 146">
          <a:extLst>
            <a:ext uri="{FF2B5EF4-FFF2-40B4-BE49-F238E27FC236}">
              <a16:creationId xmlns:a16="http://schemas.microsoft.com/office/drawing/2014/main" id="{00000000-0008-0000-0100-000092C80000}"/>
            </a:ext>
          </a:extLst>
        </xdr:cNvPr>
        <xdr:cNvSpPr txBox="1">
          <a:spLocks noChangeArrowheads="1"/>
        </xdr:cNvSpPr>
      </xdr:nvSpPr>
      <xdr:spPr bwMode="auto">
        <a:xfrm>
          <a:off x="7343775" y="11620500"/>
          <a:ext cx="0" cy="78105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FF"/>
              </a:solidFill>
              <a:latin typeface="Arial"/>
              <a:cs typeface="Arial"/>
            </a:rPr>
            <a:t>     </a:t>
          </a:r>
          <a:r>
            <a:rPr lang="en-GB" sz="1600" b="1" i="0" u="none" strike="noStrike" baseline="0">
              <a:solidFill>
                <a:srgbClr val="0000FF"/>
              </a:solidFill>
              <a:latin typeface="Arial"/>
              <a:cs typeface="Arial"/>
            </a:rPr>
            <a:t>2h </a:t>
          </a:r>
        </a:p>
        <a:p>
          <a:pPr algn="l" rtl="0">
            <a:defRPr sz="1000"/>
          </a:pPr>
          <a:r>
            <a:rPr lang="en-GB" sz="1600" b="1" i="0" u="none" strike="noStrike" baseline="0">
              <a:solidFill>
                <a:srgbClr val="0000FF"/>
              </a:solidFill>
              <a:latin typeface="Arial"/>
              <a:cs typeface="Arial"/>
            </a:rPr>
            <a:t>&lt; 24h </a:t>
          </a:r>
        </a:p>
        <a:p>
          <a:pPr algn="l" rtl="0">
            <a:defRPr sz="1000"/>
          </a:pPr>
          <a:r>
            <a:rPr lang="en-GB" sz="1600" b="1" i="0" u="none" strike="noStrike" baseline="0">
              <a:solidFill>
                <a:srgbClr val="0000FF"/>
              </a:solidFill>
              <a:latin typeface="Arial"/>
              <a:cs typeface="Arial"/>
            </a:rPr>
            <a:t>&gt; 24h</a:t>
          </a:r>
          <a:endParaRPr lang="en-GB"/>
        </a:p>
      </xdr:txBody>
    </xdr:sp>
    <xdr:clientData/>
  </xdr:twoCellAnchor>
  <xdr:twoCellAnchor>
    <xdr:from>
      <xdr:col>17</xdr:col>
      <xdr:colOff>66675</xdr:colOff>
      <xdr:row>17</xdr:row>
      <xdr:rowOff>57150</xdr:rowOff>
    </xdr:from>
    <xdr:to>
      <xdr:col>22</xdr:col>
      <xdr:colOff>1038225</xdr:colOff>
      <xdr:row>23</xdr:row>
      <xdr:rowOff>457200</xdr:rowOff>
    </xdr:to>
    <xdr:graphicFrame macro="">
      <xdr:nvGraphicFramePr>
        <xdr:cNvPr id="51875" name="Diagramm 135">
          <a:extLst>
            <a:ext uri="{FF2B5EF4-FFF2-40B4-BE49-F238E27FC236}">
              <a16:creationId xmlns:a16="http://schemas.microsoft.com/office/drawing/2014/main" id="{00000000-0008-0000-0100-0000A3C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1000125</xdr:colOff>
      <xdr:row>32</xdr:row>
      <xdr:rowOff>66675</xdr:rowOff>
    </xdr:from>
    <xdr:to>
      <xdr:col>19</xdr:col>
      <xdr:colOff>2695575</xdr:colOff>
      <xdr:row>32</xdr:row>
      <xdr:rowOff>400050</xdr:rowOff>
    </xdr:to>
    <xdr:sp macro="" textlink="">
      <xdr:nvSpPr>
        <xdr:cNvPr id="51364" name="Text Box 164">
          <a:extLst>
            <a:ext uri="{FF2B5EF4-FFF2-40B4-BE49-F238E27FC236}">
              <a16:creationId xmlns:a16="http://schemas.microsoft.com/office/drawing/2014/main" id="{00000000-0008-0000-0100-0000A4C80000}"/>
            </a:ext>
          </a:extLst>
        </xdr:cNvPr>
        <xdr:cNvSpPr txBox="1">
          <a:spLocks noChangeArrowheads="1"/>
        </xdr:cNvSpPr>
      </xdr:nvSpPr>
      <xdr:spPr bwMode="auto">
        <a:xfrm>
          <a:off x="22326600" y="18926175"/>
          <a:ext cx="1695450" cy="333375"/>
        </a:xfrm>
        <a:prstGeom prst="rect">
          <a:avLst/>
        </a:prstGeom>
        <a:noFill/>
        <a:ln>
          <a:noFill/>
        </a:ln>
        <a:effectLst/>
      </xdr:spPr>
      <xdr:txBody>
        <a:bodyPr vertOverflow="clip" wrap="square" lIns="36576" tIns="27432" rIns="36576" bIns="27432" anchor="ctr" upright="1"/>
        <a:lstStyle/>
        <a:p>
          <a:pPr algn="ctr" rtl="0">
            <a:defRPr sz="1000"/>
          </a:pPr>
          <a:r>
            <a:rPr lang="en-GB" sz="1400" b="1" i="0" u="none" strike="noStrike" baseline="0">
              <a:solidFill>
                <a:srgbClr val="000000"/>
              </a:solidFill>
              <a:latin typeface="Arial"/>
              <a:cs typeface="Arial"/>
            </a:rPr>
            <a:t>RPN = </a:t>
          </a:r>
          <a:endParaRPr lang="en-GB"/>
        </a:p>
      </xdr:txBody>
    </xdr:sp>
    <xdr:clientData/>
  </xdr:twoCellAnchor>
  <xdr:twoCellAnchor>
    <xdr:from>
      <xdr:col>1</xdr:col>
      <xdr:colOff>123825</xdr:colOff>
      <xdr:row>10</xdr:row>
      <xdr:rowOff>276225</xdr:rowOff>
    </xdr:from>
    <xdr:to>
      <xdr:col>2</xdr:col>
      <xdr:colOff>485775</xdr:colOff>
      <xdr:row>10</xdr:row>
      <xdr:rowOff>657225</xdr:rowOff>
    </xdr:to>
    <xdr:sp macro="" textlink="">
      <xdr:nvSpPr>
        <xdr:cNvPr id="51379" name="Text Box 179">
          <a:extLst>
            <a:ext uri="{FF2B5EF4-FFF2-40B4-BE49-F238E27FC236}">
              <a16:creationId xmlns:a16="http://schemas.microsoft.com/office/drawing/2014/main" id="{00000000-0008-0000-0100-0000B3C80000}"/>
            </a:ext>
          </a:extLst>
        </xdr:cNvPr>
        <xdr:cNvSpPr txBox="1">
          <a:spLocks noChangeArrowheads="1"/>
        </xdr:cNvSpPr>
      </xdr:nvSpPr>
      <xdr:spPr bwMode="auto">
        <a:xfrm>
          <a:off x="314325" y="5943600"/>
          <a:ext cx="742950" cy="381000"/>
        </a:xfrm>
        <a:prstGeom prst="rect">
          <a:avLst/>
        </a:prstGeom>
        <a:noFill/>
        <a:ln w="28575" algn="ctr">
          <a:solidFill>
            <a:srgbClr val="FF0000"/>
          </a:solidFill>
          <a:miter lim="800000"/>
          <a:headEnd/>
          <a:tailEnd/>
        </a:ln>
        <a:effectLst/>
      </xdr:spPr>
      <xdr:txBody>
        <a:bodyPr vertOverflow="clip" wrap="square" lIns="45720" tIns="41148" rIns="45720" bIns="0" anchor="t" upright="1"/>
        <a:lstStyle/>
        <a:p>
          <a:pPr algn="ctr" rtl="0">
            <a:defRPr sz="1000"/>
          </a:pPr>
          <a:r>
            <a:rPr lang="en-GB" sz="2000" b="1" i="0" u="none" strike="noStrike" baseline="0">
              <a:solidFill>
                <a:srgbClr val="FF0000"/>
              </a:solidFill>
              <a:latin typeface="Arial"/>
              <a:cs typeface="Arial"/>
            </a:rPr>
            <a:t>NOK</a:t>
          </a:r>
          <a:endParaRPr lang="en-GB"/>
        </a:p>
      </xdr:txBody>
    </xdr:sp>
    <xdr:clientData/>
  </xdr:twoCellAnchor>
  <xdr:twoCellAnchor>
    <xdr:from>
      <xdr:col>1</xdr:col>
      <xdr:colOff>200025</xdr:colOff>
      <xdr:row>7</xdr:row>
      <xdr:rowOff>276225</xdr:rowOff>
    </xdr:from>
    <xdr:to>
      <xdr:col>2</xdr:col>
      <xdr:colOff>561975</xdr:colOff>
      <xdr:row>7</xdr:row>
      <xdr:rowOff>657225</xdr:rowOff>
    </xdr:to>
    <xdr:sp macro="" textlink="">
      <xdr:nvSpPr>
        <xdr:cNvPr id="51380" name="Text Box 180">
          <a:extLst>
            <a:ext uri="{FF2B5EF4-FFF2-40B4-BE49-F238E27FC236}">
              <a16:creationId xmlns:a16="http://schemas.microsoft.com/office/drawing/2014/main" id="{00000000-0008-0000-0100-0000B4C80000}"/>
            </a:ext>
          </a:extLst>
        </xdr:cNvPr>
        <xdr:cNvSpPr txBox="1">
          <a:spLocks noChangeArrowheads="1"/>
        </xdr:cNvSpPr>
      </xdr:nvSpPr>
      <xdr:spPr bwMode="auto">
        <a:xfrm>
          <a:off x="390525" y="3857625"/>
          <a:ext cx="742950" cy="381000"/>
        </a:xfrm>
        <a:prstGeom prst="rect">
          <a:avLst/>
        </a:prstGeom>
        <a:noFill/>
        <a:ln w="28575" algn="ctr">
          <a:solidFill>
            <a:srgbClr val="00FF00"/>
          </a:solidFill>
          <a:miter lim="800000"/>
          <a:headEnd/>
          <a:tailEnd/>
        </a:ln>
        <a:effectLst/>
      </xdr:spPr>
      <xdr:txBody>
        <a:bodyPr vertOverflow="clip" wrap="square" lIns="45720" tIns="41148" rIns="45720" bIns="0" anchor="t" upright="1"/>
        <a:lstStyle/>
        <a:p>
          <a:pPr algn="ctr" rtl="0">
            <a:defRPr sz="1000"/>
          </a:pPr>
          <a:r>
            <a:rPr lang="en-GB" sz="2000" b="1" i="0" u="none" strike="noStrike" baseline="0">
              <a:solidFill>
                <a:srgbClr val="00FF00"/>
              </a:solidFill>
              <a:latin typeface="Arial"/>
              <a:cs typeface="Arial"/>
            </a:rPr>
            <a:t>OK</a:t>
          </a:r>
          <a:endParaRPr lang="en-GB"/>
        </a:p>
      </xdr:txBody>
    </xdr:sp>
    <xdr:clientData/>
  </xdr:twoCellAnchor>
  <xdr:twoCellAnchor>
    <xdr:from>
      <xdr:col>17</xdr:col>
      <xdr:colOff>314325</xdr:colOff>
      <xdr:row>34</xdr:row>
      <xdr:rowOff>57150</xdr:rowOff>
    </xdr:from>
    <xdr:to>
      <xdr:col>19</xdr:col>
      <xdr:colOff>542925</xdr:colOff>
      <xdr:row>34</xdr:row>
      <xdr:rowOff>533400</xdr:rowOff>
    </xdr:to>
    <xdr:sp macro="" textlink="">
      <xdr:nvSpPr>
        <xdr:cNvPr id="51422" name="Text Box 222">
          <a:extLst>
            <a:ext uri="{FF2B5EF4-FFF2-40B4-BE49-F238E27FC236}">
              <a16:creationId xmlns:a16="http://schemas.microsoft.com/office/drawing/2014/main" id="{00000000-0008-0000-0100-0000DEC80000}"/>
            </a:ext>
          </a:extLst>
        </xdr:cNvPr>
        <xdr:cNvSpPr txBox="1">
          <a:spLocks noChangeArrowheads="1"/>
        </xdr:cNvSpPr>
      </xdr:nvSpPr>
      <xdr:spPr bwMode="auto">
        <a:xfrm>
          <a:off x="20221575" y="19611975"/>
          <a:ext cx="1647825" cy="476250"/>
        </a:xfrm>
        <a:prstGeom prst="rect">
          <a:avLst/>
        </a:prstGeom>
        <a:noFill/>
        <a:ln>
          <a:noFill/>
        </a:ln>
        <a:effectLst/>
      </xdr:spPr>
      <xdr:txBody>
        <a:bodyPr vertOverflow="clip" wrap="square" lIns="36576" tIns="22860" rIns="0" bIns="0" anchor="t" upright="1"/>
        <a:lstStyle/>
        <a:p>
          <a:pPr algn="l" rtl="0">
            <a:lnSpc>
              <a:spcPts val="1300"/>
            </a:lnSpc>
            <a:defRPr sz="1000"/>
          </a:pPr>
          <a:endParaRPr lang="en-GB" sz="1200" b="0" i="0" u="none" strike="noStrike" baseline="0">
            <a:solidFill>
              <a:srgbClr val="3366FF"/>
            </a:solidFill>
            <a:latin typeface="Arial"/>
            <a:cs typeface="Arial"/>
          </a:endParaRPr>
        </a:p>
        <a:p>
          <a:pPr algn="l" rtl="0">
            <a:defRPr sz="1000"/>
          </a:pPr>
          <a:r>
            <a:rPr lang="en-GB" sz="1200" b="0" i="0" u="none" strike="noStrike" baseline="0">
              <a:solidFill>
                <a:srgbClr val="3366FF"/>
              </a:solidFill>
              <a:latin typeface="Arial"/>
              <a:cs typeface="Arial"/>
            </a:rPr>
            <a:t>no 8D-Evaluation</a:t>
          </a:r>
          <a:endParaRPr lang="en-GB"/>
        </a:p>
      </xdr:txBody>
    </xdr:sp>
    <xdr:clientData/>
  </xdr:twoCellAnchor>
  <xdr:twoCellAnchor>
    <xdr:from>
      <xdr:col>6</xdr:col>
      <xdr:colOff>1609725</xdr:colOff>
      <xdr:row>13</xdr:row>
      <xdr:rowOff>609600</xdr:rowOff>
    </xdr:from>
    <xdr:to>
      <xdr:col>6</xdr:col>
      <xdr:colOff>1295400</xdr:colOff>
      <xdr:row>13</xdr:row>
      <xdr:rowOff>647700</xdr:rowOff>
    </xdr:to>
    <xdr:sp macro="" textlink="">
      <xdr:nvSpPr>
        <xdr:cNvPr id="51450" name="Text Box 250">
          <a:extLst>
            <a:ext uri="{FF2B5EF4-FFF2-40B4-BE49-F238E27FC236}">
              <a16:creationId xmlns:a16="http://schemas.microsoft.com/office/drawing/2014/main" id="{00000000-0008-0000-0100-0000FAC80000}"/>
            </a:ext>
          </a:extLst>
        </xdr:cNvPr>
        <xdr:cNvSpPr txBox="1">
          <a:spLocks noChangeArrowheads="1"/>
        </xdr:cNvSpPr>
      </xdr:nvSpPr>
      <xdr:spPr bwMode="auto">
        <a:xfrm>
          <a:off x="7343775" y="8362950"/>
          <a:ext cx="0" cy="38100"/>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6</xdr:col>
      <xdr:colOff>1524000</xdr:colOff>
      <xdr:row>12</xdr:row>
      <xdr:rowOff>676275</xdr:rowOff>
    </xdr:from>
    <xdr:to>
      <xdr:col>6</xdr:col>
      <xdr:colOff>2419350</xdr:colOff>
      <xdr:row>13</xdr:row>
      <xdr:rowOff>19050</xdr:rowOff>
    </xdr:to>
    <xdr:sp macro="" textlink="">
      <xdr:nvSpPr>
        <xdr:cNvPr id="51452" name="Text Box 252">
          <a:extLst>
            <a:ext uri="{FF2B5EF4-FFF2-40B4-BE49-F238E27FC236}">
              <a16:creationId xmlns:a16="http://schemas.microsoft.com/office/drawing/2014/main" id="{00000000-0008-0000-0100-0000FCC80000}"/>
            </a:ext>
          </a:extLst>
        </xdr:cNvPr>
        <xdr:cNvSpPr txBox="1">
          <a:spLocks noChangeArrowheads="1"/>
        </xdr:cNvSpPr>
      </xdr:nvSpPr>
      <xdr:spPr bwMode="auto">
        <a:xfrm>
          <a:off x="7343775" y="773430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3</xdr:col>
      <xdr:colOff>1636194</xdr:colOff>
      <xdr:row>0</xdr:row>
      <xdr:rowOff>865040</xdr:rowOff>
    </xdr:from>
    <xdr:to>
      <xdr:col>5</xdr:col>
      <xdr:colOff>14470</xdr:colOff>
      <xdr:row>0</xdr:row>
      <xdr:rowOff>1093640</xdr:rowOff>
    </xdr:to>
    <xdr:sp macro="" textlink="">
      <xdr:nvSpPr>
        <xdr:cNvPr id="51548" name="Text Box 348">
          <a:extLst>
            <a:ext uri="{FF2B5EF4-FFF2-40B4-BE49-F238E27FC236}">
              <a16:creationId xmlns:a16="http://schemas.microsoft.com/office/drawing/2014/main" id="{00000000-0008-0000-0100-00005CC90000}"/>
            </a:ext>
          </a:extLst>
        </xdr:cNvPr>
        <xdr:cNvSpPr txBox="1">
          <a:spLocks noChangeArrowheads="1"/>
        </xdr:cNvSpPr>
      </xdr:nvSpPr>
      <xdr:spPr bwMode="auto">
        <a:xfrm>
          <a:off x="4398444" y="865040"/>
          <a:ext cx="868383" cy="2286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Polish</a:t>
          </a:r>
          <a:endParaRPr lang="en-GB"/>
        </a:p>
      </xdr:txBody>
    </xdr:sp>
    <xdr:clientData/>
  </xdr:twoCellAnchor>
  <xdr:twoCellAnchor>
    <xdr:from>
      <xdr:col>7</xdr:col>
      <xdr:colOff>0</xdr:colOff>
      <xdr:row>25</xdr:row>
      <xdr:rowOff>190500</xdr:rowOff>
    </xdr:from>
    <xdr:to>
      <xdr:col>7</xdr:col>
      <xdr:colOff>104775</xdr:colOff>
      <xdr:row>25</xdr:row>
      <xdr:rowOff>447675</xdr:rowOff>
    </xdr:to>
    <xdr:sp macro="" textlink="">
      <xdr:nvSpPr>
        <xdr:cNvPr id="51883" name="Text Box 393">
          <a:extLst>
            <a:ext uri="{FF2B5EF4-FFF2-40B4-BE49-F238E27FC236}">
              <a16:creationId xmlns:a16="http://schemas.microsoft.com/office/drawing/2014/main" id="{00000000-0008-0000-0100-0000ABCA0000}"/>
            </a:ext>
          </a:extLst>
        </xdr:cNvPr>
        <xdr:cNvSpPr txBox="1">
          <a:spLocks noChangeArrowheads="1"/>
        </xdr:cNvSpPr>
      </xdr:nvSpPr>
      <xdr:spPr bwMode="auto">
        <a:xfrm>
          <a:off x="7591425" y="15849600"/>
          <a:ext cx="104775" cy="257175"/>
        </a:xfrm>
        <a:prstGeom prst="rect">
          <a:avLst/>
        </a:prstGeom>
        <a:noFill/>
        <a:ln w="9525">
          <a:noFill/>
          <a:miter lim="800000"/>
          <a:headEnd/>
          <a:tailEnd/>
        </a:ln>
      </xdr:spPr>
    </xdr:sp>
    <xdr:clientData/>
  </xdr:twoCellAnchor>
  <xdr:twoCellAnchor>
    <xdr:from>
      <xdr:col>28</xdr:col>
      <xdr:colOff>752475</xdr:colOff>
      <xdr:row>35</xdr:row>
      <xdr:rowOff>266700</xdr:rowOff>
    </xdr:from>
    <xdr:to>
      <xdr:col>30</xdr:col>
      <xdr:colOff>9525</xdr:colOff>
      <xdr:row>38</xdr:row>
      <xdr:rowOff>0</xdr:rowOff>
    </xdr:to>
    <xdr:sp macro="" textlink="">
      <xdr:nvSpPr>
        <xdr:cNvPr id="51884" name="Rectangle 488">
          <a:extLst>
            <a:ext uri="{FF2B5EF4-FFF2-40B4-BE49-F238E27FC236}">
              <a16:creationId xmlns:a16="http://schemas.microsoft.com/office/drawing/2014/main" id="{00000000-0008-0000-0100-0000ACCA0000}"/>
            </a:ext>
          </a:extLst>
        </xdr:cNvPr>
        <xdr:cNvSpPr>
          <a:spLocks noChangeArrowheads="1"/>
        </xdr:cNvSpPr>
      </xdr:nvSpPr>
      <xdr:spPr bwMode="auto">
        <a:xfrm>
          <a:off x="32594550" y="21878925"/>
          <a:ext cx="781050" cy="323850"/>
        </a:xfrm>
        <a:prstGeom prst="rect">
          <a:avLst/>
        </a:prstGeom>
        <a:noFill/>
        <a:ln w="19050" algn="ctr">
          <a:solidFill>
            <a:srgbClr val="FF0000"/>
          </a:solidFill>
          <a:miter lim="800000"/>
          <a:headEnd/>
          <a:tailEnd/>
        </a:ln>
      </xdr:spPr>
    </xdr:sp>
    <xdr:clientData/>
  </xdr:twoCellAnchor>
  <xdr:twoCellAnchor>
    <xdr:from>
      <xdr:col>28</xdr:col>
      <xdr:colOff>752475</xdr:colOff>
      <xdr:row>42</xdr:row>
      <xdr:rowOff>0</xdr:rowOff>
    </xdr:from>
    <xdr:to>
      <xdr:col>30</xdr:col>
      <xdr:colOff>9525</xdr:colOff>
      <xdr:row>43</xdr:row>
      <xdr:rowOff>161925</xdr:rowOff>
    </xdr:to>
    <xdr:sp macro="" textlink="">
      <xdr:nvSpPr>
        <xdr:cNvPr id="51885" name="Rectangle 489">
          <a:extLst>
            <a:ext uri="{FF2B5EF4-FFF2-40B4-BE49-F238E27FC236}">
              <a16:creationId xmlns:a16="http://schemas.microsoft.com/office/drawing/2014/main" id="{00000000-0008-0000-0100-0000ADCA0000}"/>
            </a:ext>
          </a:extLst>
        </xdr:cNvPr>
        <xdr:cNvSpPr>
          <a:spLocks noChangeArrowheads="1"/>
        </xdr:cNvSpPr>
      </xdr:nvSpPr>
      <xdr:spPr bwMode="auto">
        <a:xfrm>
          <a:off x="32594550" y="22945725"/>
          <a:ext cx="781050" cy="342900"/>
        </a:xfrm>
        <a:prstGeom prst="rect">
          <a:avLst/>
        </a:prstGeom>
        <a:noFill/>
        <a:ln w="19050" algn="ctr">
          <a:solidFill>
            <a:srgbClr val="FF0000"/>
          </a:solidFill>
          <a:miter lim="800000"/>
          <a:headEnd/>
          <a:tailEnd/>
        </a:ln>
      </xdr:spPr>
    </xdr:sp>
    <xdr:clientData/>
  </xdr:twoCellAnchor>
  <xdr:twoCellAnchor>
    <xdr:from>
      <xdr:col>28</xdr:col>
      <xdr:colOff>533400</xdr:colOff>
      <xdr:row>65</xdr:row>
      <xdr:rowOff>171450</xdr:rowOff>
    </xdr:from>
    <xdr:to>
      <xdr:col>30</xdr:col>
      <xdr:colOff>180975</xdr:colOff>
      <xdr:row>68</xdr:row>
      <xdr:rowOff>0</xdr:rowOff>
    </xdr:to>
    <xdr:sp macro="" textlink="">
      <xdr:nvSpPr>
        <xdr:cNvPr id="51886" name="AutoShape 490">
          <a:extLst>
            <a:ext uri="{FF2B5EF4-FFF2-40B4-BE49-F238E27FC236}">
              <a16:creationId xmlns:a16="http://schemas.microsoft.com/office/drawing/2014/main" id="{00000000-0008-0000-0100-0000AECA0000}"/>
            </a:ext>
          </a:extLst>
        </xdr:cNvPr>
        <xdr:cNvSpPr>
          <a:spLocks noChangeArrowheads="1"/>
        </xdr:cNvSpPr>
      </xdr:nvSpPr>
      <xdr:spPr bwMode="auto">
        <a:xfrm>
          <a:off x="32375475" y="28270200"/>
          <a:ext cx="1171575" cy="714375"/>
        </a:xfrm>
        <a:prstGeom prst="flowChartDecision">
          <a:avLst/>
        </a:prstGeom>
        <a:noFill/>
        <a:ln w="19050" algn="ctr">
          <a:solidFill>
            <a:srgbClr val="FF0000"/>
          </a:solidFill>
          <a:miter lim="800000"/>
          <a:headEnd/>
          <a:tailEnd/>
        </a:ln>
      </xdr:spPr>
    </xdr:sp>
    <xdr:clientData/>
  </xdr:twoCellAnchor>
  <xdr:twoCellAnchor>
    <xdr:from>
      <xdr:col>28</xdr:col>
      <xdr:colOff>752475</xdr:colOff>
      <xdr:row>61</xdr:row>
      <xdr:rowOff>76200</xdr:rowOff>
    </xdr:from>
    <xdr:to>
      <xdr:col>30</xdr:col>
      <xdr:colOff>9525</xdr:colOff>
      <xdr:row>63</xdr:row>
      <xdr:rowOff>76200</xdr:rowOff>
    </xdr:to>
    <xdr:sp macro="" textlink="">
      <xdr:nvSpPr>
        <xdr:cNvPr id="51887" name="Rectangle 491">
          <a:extLst>
            <a:ext uri="{FF2B5EF4-FFF2-40B4-BE49-F238E27FC236}">
              <a16:creationId xmlns:a16="http://schemas.microsoft.com/office/drawing/2014/main" id="{00000000-0008-0000-0100-0000AFCA0000}"/>
            </a:ext>
          </a:extLst>
        </xdr:cNvPr>
        <xdr:cNvSpPr>
          <a:spLocks noChangeArrowheads="1"/>
        </xdr:cNvSpPr>
      </xdr:nvSpPr>
      <xdr:spPr bwMode="auto">
        <a:xfrm>
          <a:off x="32594550" y="27441525"/>
          <a:ext cx="781050" cy="381000"/>
        </a:xfrm>
        <a:prstGeom prst="rect">
          <a:avLst/>
        </a:prstGeom>
        <a:noFill/>
        <a:ln w="19050" algn="ctr">
          <a:solidFill>
            <a:srgbClr val="FF0000"/>
          </a:solidFill>
          <a:miter lim="800000"/>
          <a:headEnd/>
          <a:tailEnd/>
        </a:ln>
      </xdr:spPr>
    </xdr:sp>
    <xdr:clientData/>
  </xdr:twoCellAnchor>
  <xdr:twoCellAnchor>
    <xdr:from>
      <xdr:col>29</xdr:col>
      <xdr:colOff>371475</xdr:colOff>
      <xdr:row>38</xdr:row>
      <xdr:rowOff>19050</xdr:rowOff>
    </xdr:from>
    <xdr:to>
      <xdr:col>29</xdr:col>
      <xdr:colOff>371475</xdr:colOff>
      <xdr:row>38</xdr:row>
      <xdr:rowOff>314325</xdr:rowOff>
    </xdr:to>
    <xdr:sp macro="" textlink="">
      <xdr:nvSpPr>
        <xdr:cNvPr id="51888" name="Line 492">
          <a:extLst>
            <a:ext uri="{FF2B5EF4-FFF2-40B4-BE49-F238E27FC236}">
              <a16:creationId xmlns:a16="http://schemas.microsoft.com/office/drawing/2014/main" id="{00000000-0008-0000-0100-0000B0CA0000}"/>
            </a:ext>
          </a:extLst>
        </xdr:cNvPr>
        <xdr:cNvSpPr>
          <a:spLocks noChangeShapeType="1"/>
        </xdr:cNvSpPr>
      </xdr:nvSpPr>
      <xdr:spPr bwMode="auto">
        <a:xfrm>
          <a:off x="32975550" y="22221825"/>
          <a:ext cx="0" cy="180975"/>
        </a:xfrm>
        <a:prstGeom prst="line">
          <a:avLst/>
        </a:prstGeom>
        <a:noFill/>
        <a:ln w="19050">
          <a:solidFill>
            <a:srgbClr val="FF0000"/>
          </a:solidFill>
          <a:round/>
          <a:headEnd/>
          <a:tailEnd type="triangle" w="med" len="med"/>
        </a:ln>
      </xdr:spPr>
    </xdr:sp>
    <xdr:clientData/>
  </xdr:twoCellAnchor>
  <xdr:twoCellAnchor>
    <xdr:from>
      <xdr:col>29</xdr:col>
      <xdr:colOff>371475</xdr:colOff>
      <xdr:row>40</xdr:row>
      <xdr:rowOff>104775</xdr:rowOff>
    </xdr:from>
    <xdr:to>
      <xdr:col>29</xdr:col>
      <xdr:colOff>371475</xdr:colOff>
      <xdr:row>42</xdr:row>
      <xdr:rowOff>0</xdr:rowOff>
    </xdr:to>
    <xdr:sp macro="" textlink="">
      <xdr:nvSpPr>
        <xdr:cNvPr id="51889" name="Line 493">
          <a:extLst>
            <a:ext uri="{FF2B5EF4-FFF2-40B4-BE49-F238E27FC236}">
              <a16:creationId xmlns:a16="http://schemas.microsoft.com/office/drawing/2014/main" id="{00000000-0008-0000-0100-0000B1CA0000}"/>
            </a:ext>
          </a:extLst>
        </xdr:cNvPr>
        <xdr:cNvSpPr>
          <a:spLocks noChangeShapeType="1"/>
        </xdr:cNvSpPr>
      </xdr:nvSpPr>
      <xdr:spPr bwMode="auto">
        <a:xfrm>
          <a:off x="32975550" y="22688550"/>
          <a:ext cx="0" cy="257175"/>
        </a:xfrm>
        <a:prstGeom prst="line">
          <a:avLst/>
        </a:prstGeom>
        <a:noFill/>
        <a:ln w="19050">
          <a:solidFill>
            <a:srgbClr val="FF0000"/>
          </a:solidFill>
          <a:round/>
          <a:headEnd/>
          <a:tailEnd type="triangle" w="med" len="med"/>
        </a:ln>
      </xdr:spPr>
    </xdr:sp>
    <xdr:clientData/>
  </xdr:twoCellAnchor>
  <xdr:twoCellAnchor>
    <xdr:from>
      <xdr:col>29</xdr:col>
      <xdr:colOff>361950</xdr:colOff>
      <xdr:row>43</xdr:row>
      <xdr:rowOff>152400</xdr:rowOff>
    </xdr:from>
    <xdr:to>
      <xdr:col>29</xdr:col>
      <xdr:colOff>371475</xdr:colOff>
      <xdr:row>44</xdr:row>
      <xdr:rowOff>152400</xdr:rowOff>
    </xdr:to>
    <xdr:sp macro="" textlink="">
      <xdr:nvSpPr>
        <xdr:cNvPr id="51890" name="Line 494">
          <a:extLst>
            <a:ext uri="{FF2B5EF4-FFF2-40B4-BE49-F238E27FC236}">
              <a16:creationId xmlns:a16="http://schemas.microsoft.com/office/drawing/2014/main" id="{00000000-0008-0000-0100-0000B2CA0000}"/>
            </a:ext>
          </a:extLst>
        </xdr:cNvPr>
        <xdr:cNvSpPr>
          <a:spLocks noChangeShapeType="1"/>
        </xdr:cNvSpPr>
      </xdr:nvSpPr>
      <xdr:spPr bwMode="auto">
        <a:xfrm flipH="1">
          <a:off x="32966025" y="23279100"/>
          <a:ext cx="9525" cy="180975"/>
        </a:xfrm>
        <a:prstGeom prst="line">
          <a:avLst/>
        </a:prstGeom>
        <a:noFill/>
        <a:ln w="19050">
          <a:solidFill>
            <a:srgbClr val="FF0000"/>
          </a:solidFill>
          <a:round/>
          <a:headEnd/>
          <a:tailEnd type="triangle" w="med" len="med"/>
        </a:ln>
      </xdr:spPr>
    </xdr:sp>
    <xdr:clientData/>
  </xdr:twoCellAnchor>
  <xdr:twoCellAnchor>
    <xdr:from>
      <xdr:col>28</xdr:col>
      <xdr:colOff>371475</xdr:colOff>
      <xdr:row>50</xdr:row>
      <xdr:rowOff>85725</xdr:rowOff>
    </xdr:from>
    <xdr:to>
      <xdr:col>28</xdr:col>
      <xdr:colOff>381000</xdr:colOff>
      <xdr:row>54</xdr:row>
      <xdr:rowOff>228600</xdr:rowOff>
    </xdr:to>
    <xdr:sp macro="" textlink="">
      <xdr:nvSpPr>
        <xdr:cNvPr id="51891" name="Line 495">
          <a:extLst>
            <a:ext uri="{FF2B5EF4-FFF2-40B4-BE49-F238E27FC236}">
              <a16:creationId xmlns:a16="http://schemas.microsoft.com/office/drawing/2014/main" id="{00000000-0008-0000-0100-0000B3CA0000}"/>
            </a:ext>
          </a:extLst>
        </xdr:cNvPr>
        <xdr:cNvSpPr>
          <a:spLocks noChangeShapeType="1"/>
        </xdr:cNvSpPr>
      </xdr:nvSpPr>
      <xdr:spPr bwMode="auto">
        <a:xfrm>
          <a:off x="32213550" y="24831675"/>
          <a:ext cx="9525" cy="1057275"/>
        </a:xfrm>
        <a:prstGeom prst="line">
          <a:avLst/>
        </a:prstGeom>
        <a:noFill/>
        <a:ln w="19050">
          <a:solidFill>
            <a:srgbClr val="FF0000"/>
          </a:solidFill>
          <a:round/>
          <a:headEnd/>
          <a:tailEnd type="triangle" w="med" len="med"/>
        </a:ln>
      </xdr:spPr>
    </xdr:sp>
    <xdr:clientData/>
  </xdr:twoCellAnchor>
  <xdr:twoCellAnchor>
    <xdr:from>
      <xdr:col>29</xdr:col>
      <xdr:colOff>371475</xdr:colOff>
      <xdr:row>46</xdr:row>
      <xdr:rowOff>142875</xdr:rowOff>
    </xdr:from>
    <xdr:to>
      <xdr:col>29</xdr:col>
      <xdr:colOff>371475</xdr:colOff>
      <xdr:row>48</xdr:row>
      <xdr:rowOff>85725</xdr:rowOff>
    </xdr:to>
    <xdr:sp macro="" textlink="">
      <xdr:nvSpPr>
        <xdr:cNvPr id="51892" name="Line 496">
          <a:extLst>
            <a:ext uri="{FF2B5EF4-FFF2-40B4-BE49-F238E27FC236}">
              <a16:creationId xmlns:a16="http://schemas.microsoft.com/office/drawing/2014/main" id="{00000000-0008-0000-0100-0000B4CA0000}"/>
            </a:ext>
          </a:extLst>
        </xdr:cNvPr>
        <xdr:cNvSpPr>
          <a:spLocks noChangeShapeType="1"/>
        </xdr:cNvSpPr>
      </xdr:nvSpPr>
      <xdr:spPr bwMode="auto">
        <a:xfrm>
          <a:off x="32975550" y="23812500"/>
          <a:ext cx="0" cy="600075"/>
        </a:xfrm>
        <a:prstGeom prst="line">
          <a:avLst/>
        </a:prstGeom>
        <a:noFill/>
        <a:ln w="19050">
          <a:solidFill>
            <a:srgbClr val="FF0000"/>
          </a:solidFill>
          <a:round/>
          <a:headEnd/>
          <a:tailEnd/>
        </a:ln>
      </xdr:spPr>
    </xdr:sp>
    <xdr:clientData/>
  </xdr:twoCellAnchor>
  <xdr:twoCellAnchor>
    <xdr:from>
      <xdr:col>29</xdr:col>
      <xdr:colOff>361950</xdr:colOff>
      <xdr:row>67</xdr:row>
      <xdr:rowOff>180975</xdr:rowOff>
    </xdr:from>
    <xdr:to>
      <xdr:col>29</xdr:col>
      <xdr:colOff>361950</xdr:colOff>
      <xdr:row>68</xdr:row>
      <xdr:rowOff>142875</xdr:rowOff>
    </xdr:to>
    <xdr:sp macro="" textlink="">
      <xdr:nvSpPr>
        <xdr:cNvPr id="51893" name="Line 497">
          <a:extLst>
            <a:ext uri="{FF2B5EF4-FFF2-40B4-BE49-F238E27FC236}">
              <a16:creationId xmlns:a16="http://schemas.microsoft.com/office/drawing/2014/main" id="{00000000-0008-0000-0100-0000B5CA0000}"/>
            </a:ext>
          </a:extLst>
        </xdr:cNvPr>
        <xdr:cNvSpPr>
          <a:spLocks noChangeShapeType="1"/>
        </xdr:cNvSpPr>
      </xdr:nvSpPr>
      <xdr:spPr bwMode="auto">
        <a:xfrm>
          <a:off x="32966025" y="28965525"/>
          <a:ext cx="0" cy="161925"/>
        </a:xfrm>
        <a:prstGeom prst="line">
          <a:avLst/>
        </a:prstGeom>
        <a:noFill/>
        <a:ln w="19050">
          <a:solidFill>
            <a:srgbClr val="FF0000"/>
          </a:solidFill>
          <a:round/>
          <a:headEnd/>
          <a:tailEnd type="triangle" w="med" len="med"/>
        </a:ln>
      </xdr:spPr>
    </xdr:sp>
    <xdr:clientData/>
  </xdr:twoCellAnchor>
  <xdr:twoCellAnchor>
    <xdr:from>
      <xdr:col>30</xdr:col>
      <xdr:colOff>190500</xdr:colOff>
      <xdr:row>66</xdr:row>
      <xdr:rowOff>247650</xdr:rowOff>
    </xdr:from>
    <xdr:to>
      <xdr:col>32</xdr:col>
      <xdr:colOff>200025</xdr:colOff>
      <xdr:row>66</xdr:row>
      <xdr:rowOff>247650</xdr:rowOff>
    </xdr:to>
    <xdr:sp macro="" textlink="">
      <xdr:nvSpPr>
        <xdr:cNvPr id="51894" name="Line 498">
          <a:extLst>
            <a:ext uri="{FF2B5EF4-FFF2-40B4-BE49-F238E27FC236}">
              <a16:creationId xmlns:a16="http://schemas.microsoft.com/office/drawing/2014/main" id="{00000000-0008-0000-0100-0000B6CA0000}"/>
            </a:ext>
          </a:extLst>
        </xdr:cNvPr>
        <xdr:cNvSpPr>
          <a:spLocks noChangeShapeType="1"/>
        </xdr:cNvSpPr>
      </xdr:nvSpPr>
      <xdr:spPr bwMode="auto">
        <a:xfrm>
          <a:off x="33556575" y="28622625"/>
          <a:ext cx="1533525" cy="0"/>
        </a:xfrm>
        <a:prstGeom prst="line">
          <a:avLst/>
        </a:prstGeom>
        <a:noFill/>
        <a:ln w="19050">
          <a:solidFill>
            <a:srgbClr val="FF0000"/>
          </a:solidFill>
          <a:round/>
          <a:headEnd/>
          <a:tailEnd/>
        </a:ln>
      </xdr:spPr>
    </xdr:sp>
    <xdr:clientData/>
  </xdr:twoCellAnchor>
  <xdr:twoCellAnchor>
    <xdr:from>
      <xdr:col>29</xdr:col>
      <xdr:colOff>371475</xdr:colOff>
      <xdr:row>63</xdr:row>
      <xdr:rowOff>104775</xdr:rowOff>
    </xdr:from>
    <xdr:to>
      <xdr:col>29</xdr:col>
      <xdr:colOff>371475</xdr:colOff>
      <xdr:row>65</xdr:row>
      <xdr:rowOff>142875</xdr:rowOff>
    </xdr:to>
    <xdr:sp macro="" textlink="">
      <xdr:nvSpPr>
        <xdr:cNvPr id="51895" name="Line 499">
          <a:extLst>
            <a:ext uri="{FF2B5EF4-FFF2-40B4-BE49-F238E27FC236}">
              <a16:creationId xmlns:a16="http://schemas.microsoft.com/office/drawing/2014/main" id="{00000000-0008-0000-0100-0000B7CA0000}"/>
            </a:ext>
          </a:extLst>
        </xdr:cNvPr>
        <xdr:cNvSpPr>
          <a:spLocks noChangeShapeType="1"/>
        </xdr:cNvSpPr>
      </xdr:nvSpPr>
      <xdr:spPr bwMode="auto">
        <a:xfrm>
          <a:off x="32975550" y="27851100"/>
          <a:ext cx="0" cy="390525"/>
        </a:xfrm>
        <a:prstGeom prst="line">
          <a:avLst/>
        </a:prstGeom>
        <a:noFill/>
        <a:ln w="19050">
          <a:solidFill>
            <a:srgbClr val="FF0000"/>
          </a:solidFill>
          <a:round/>
          <a:headEnd/>
          <a:tailEnd type="triangle" w="med" len="med"/>
        </a:ln>
      </xdr:spPr>
    </xdr:sp>
    <xdr:clientData/>
  </xdr:twoCellAnchor>
  <xdr:twoCellAnchor>
    <xdr:from>
      <xdr:col>30</xdr:col>
      <xdr:colOff>9525</xdr:colOff>
      <xdr:row>67</xdr:row>
      <xdr:rowOff>133350</xdr:rowOff>
    </xdr:from>
    <xdr:to>
      <xdr:col>30</xdr:col>
      <xdr:colOff>400050</xdr:colOff>
      <xdr:row>68</xdr:row>
      <xdr:rowOff>85725</xdr:rowOff>
    </xdr:to>
    <xdr:sp macro="" textlink="">
      <xdr:nvSpPr>
        <xdr:cNvPr id="51700" name="Text Box 500">
          <a:extLst>
            <a:ext uri="{FF2B5EF4-FFF2-40B4-BE49-F238E27FC236}">
              <a16:creationId xmlns:a16="http://schemas.microsoft.com/office/drawing/2014/main" id="{00000000-0008-0000-0100-0000F4C90000}"/>
            </a:ext>
          </a:extLst>
        </xdr:cNvPr>
        <xdr:cNvSpPr txBox="1">
          <a:spLocks noChangeArrowheads="1"/>
        </xdr:cNvSpPr>
      </xdr:nvSpPr>
      <xdr:spPr bwMode="auto">
        <a:xfrm>
          <a:off x="32623125" y="27336750"/>
          <a:ext cx="390525" cy="152400"/>
        </a:xfrm>
        <a:prstGeom prst="rect">
          <a:avLst/>
        </a:prstGeom>
        <a:noFill/>
        <a:ln>
          <a:noFill/>
        </a:ln>
        <a:effectLst/>
      </xdr:spPr>
      <xdr:txBody>
        <a:bodyPr vertOverflow="clip" wrap="square" lIns="27432" tIns="22860" rIns="0" bIns="0" anchor="t" upright="1"/>
        <a:lstStyle/>
        <a:p>
          <a:pPr algn="l" rtl="0">
            <a:defRPr sz="1000"/>
          </a:pPr>
          <a:r>
            <a:rPr lang="en-GB" sz="800" b="0" i="0" u="none" strike="noStrike" baseline="0">
              <a:solidFill>
                <a:srgbClr val="000000"/>
              </a:solidFill>
              <a:latin typeface="Arial"/>
              <a:cs typeface="Arial"/>
            </a:rPr>
            <a:t>YES</a:t>
          </a:r>
          <a:endParaRPr lang="en-GB"/>
        </a:p>
      </xdr:txBody>
    </xdr:sp>
    <xdr:clientData/>
  </xdr:twoCellAnchor>
  <xdr:twoCellAnchor>
    <xdr:from>
      <xdr:col>28</xdr:col>
      <xdr:colOff>742950</xdr:colOff>
      <xdr:row>71</xdr:row>
      <xdr:rowOff>57150</xdr:rowOff>
    </xdr:from>
    <xdr:to>
      <xdr:col>30</xdr:col>
      <xdr:colOff>28575</xdr:colOff>
      <xdr:row>71</xdr:row>
      <xdr:rowOff>57150</xdr:rowOff>
    </xdr:to>
    <xdr:sp macro="" textlink="">
      <xdr:nvSpPr>
        <xdr:cNvPr id="51897" name="Line 501">
          <a:extLst>
            <a:ext uri="{FF2B5EF4-FFF2-40B4-BE49-F238E27FC236}">
              <a16:creationId xmlns:a16="http://schemas.microsoft.com/office/drawing/2014/main" id="{00000000-0008-0000-0100-0000B9CA0000}"/>
            </a:ext>
          </a:extLst>
        </xdr:cNvPr>
        <xdr:cNvSpPr>
          <a:spLocks noChangeShapeType="1"/>
        </xdr:cNvSpPr>
      </xdr:nvSpPr>
      <xdr:spPr bwMode="auto">
        <a:xfrm>
          <a:off x="32585025" y="29546550"/>
          <a:ext cx="809625" cy="0"/>
        </a:xfrm>
        <a:prstGeom prst="line">
          <a:avLst/>
        </a:prstGeom>
        <a:noFill/>
        <a:ln w="28575">
          <a:solidFill>
            <a:srgbClr val="FF0000"/>
          </a:solidFill>
          <a:round/>
          <a:headEnd/>
          <a:tailEnd/>
        </a:ln>
      </xdr:spPr>
    </xdr:sp>
    <xdr:clientData/>
  </xdr:twoCellAnchor>
  <xdr:twoCellAnchor>
    <xdr:from>
      <xdr:col>28</xdr:col>
      <xdr:colOff>752475</xdr:colOff>
      <xdr:row>39</xdr:row>
      <xdr:rowOff>0</xdr:rowOff>
    </xdr:from>
    <xdr:to>
      <xdr:col>30</xdr:col>
      <xdr:colOff>9525</xdr:colOff>
      <xdr:row>40</xdr:row>
      <xdr:rowOff>104775</xdr:rowOff>
    </xdr:to>
    <xdr:sp macro="" textlink="">
      <xdr:nvSpPr>
        <xdr:cNvPr id="51898" name="Rectangle 502">
          <a:extLst>
            <a:ext uri="{FF2B5EF4-FFF2-40B4-BE49-F238E27FC236}">
              <a16:creationId xmlns:a16="http://schemas.microsoft.com/office/drawing/2014/main" id="{00000000-0008-0000-0100-0000BACA0000}"/>
            </a:ext>
          </a:extLst>
        </xdr:cNvPr>
        <xdr:cNvSpPr>
          <a:spLocks noChangeArrowheads="1"/>
        </xdr:cNvSpPr>
      </xdr:nvSpPr>
      <xdr:spPr bwMode="auto">
        <a:xfrm>
          <a:off x="32594550" y="22402800"/>
          <a:ext cx="781050" cy="285750"/>
        </a:xfrm>
        <a:prstGeom prst="rect">
          <a:avLst/>
        </a:prstGeom>
        <a:noFill/>
        <a:ln w="19050" algn="ctr">
          <a:solidFill>
            <a:srgbClr val="FF0000"/>
          </a:solidFill>
          <a:miter lim="800000"/>
          <a:headEnd/>
          <a:tailEnd/>
        </a:ln>
      </xdr:spPr>
    </xdr:sp>
    <xdr:clientData/>
  </xdr:twoCellAnchor>
  <xdr:twoCellAnchor>
    <xdr:from>
      <xdr:col>28</xdr:col>
      <xdr:colOff>381000</xdr:colOff>
      <xdr:row>48</xdr:row>
      <xdr:rowOff>85725</xdr:rowOff>
    </xdr:from>
    <xdr:to>
      <xdr:col>30</xdr:col>
      <xdr:colOff>381000</xdr:colOff>
      <xdr:row>48</xdr:row>
      <xdr:rowOff>85725</xdr:rowOff>
    </xdr:to>
    <xdr:sp macro="" textlink="">
      <xdr:nvSpPr>
        <xdr:cNvPr id="51899" name="Line 503">
          <a:extLst>
            <a:ext uri="{FF2B5EF4-FFF2-40B4-BE49-F238E27FC236}">
              <a16:creationId xmlns:a16="http://schemas.microsoft.com/office/drawing/2014/main" id="{00000000-0008-0000-0100-0000BBCA0000}"/>
            </a:ext>
          </a:extLst>
        </xdr:cNvPr>
        <xdr:cNvSpPr>
          <a:spLocks noChangeShapeType="1"/>
        </xdr:cNvSpPr>
      </xdr:nvSpPr>
      <xdr:spPr bwMode="auto">
        <a:xfrm>
          <a:off x="32223075" y="24412575"/>
          <a:ext cx="1524000" cy="0"/>
        </a:xfrm>
        <a:prstGeom prst="line">
          <a:avLst/>
        </a:prstGeom>
        <a:noFill/>
        <a:ln w="19050">
          <a:solidFill>
            <a:srgbClr val="FF0000"/>
          </a:solidFill>
          <a:round/>
          <a:headEnd/>
          <a:tailEnd/>
        </a:ln>
      </xdr:spPr>
    </xdr:sp>
    <xdr:clientData/>
  </xdr:twoCellAnchor>
  <xdr:twoCellAnchor>
    <xdr:from>
      <xdr:col>27</xdr:col>
      <xdr:colOff>752475</xdr:colOff>
      <xdr:row>48</xdr:row>
      <xdr:rowOff>200025</xdr:rowOff>
    </xdr:from>
    <xdr:to>
      <xdr:col>29</xdr:col>
      <xdr:colOff>9525</xdr:colOff>
      <xdr:row>50</xdr:row>
      <xdr:rowOff>76200</xdr:rowOff>
    </xdr:to>
    <xdr:sp macro="" textlink="">
      <xdr:nvSpPr>
        <xdr:cNvPr id="51900" name="Rectangle 504">
          <a:extLst>
            <a:ext uri="{FF2B5EF4-FFF2-40B4-BE49-F238E27FC236}">
              <a16:creationId xmlns:a16="http://schemas.microsoft.com/office/drawing/2014/main" id="{00000000-0008-0000-0100-0000BCCA0000}"/>
            </a:ext>
          </a:extLst>
        </xdr:cNvPr>
        <xdr:cNvSpPr>
          <a:spLocks noChangeArrowheads="1"/>
        </xdr:cNvSpPr>
      </xdr:nvSpPr>
      <xdr:spPr bwMode="auto">
        <a:xfrm>
          <a:off x="31842075" y="24526875"/>
          <a:ext cx="771525" cy="295275"/>
        </a:xfrm>
        <a:prstGeom prst="rect">
          <a:avLst/>
        </a:prstGeom>
        <a:noFill/>
        <a:ln w="19050" algn="ctr">
          <a:solidFill>
            <a:srgbClr val="FF0000"/>
          </a:solidFill>
          <a:miter lim="800000"/>
          <a:headEnd/>
          <a:tailEnd/>
        </a:ln>
      </xdr:spPr>
    </xdr:sp>
    <xdr:clientData/>
  </xdr:twoCellAnchor>
  <xdr:twoCellAnchor>
    <xdr:from>
      <xdr:col>29</xdr:col>
      <xdr:colOff>752475</xdr:colOff>
      <xdr:row>48</xdr:row>
      <xdr:rowOff>200025</xdr:rowOff>
    </xdr:from>
    <xdr:to>
      <xdr:col>31</xdr:col>
      <xdr:colOff>9525</xdr:colOff>
      <xdr:row>50</xdr:row>
      <xdr:rowOff>76200</xdr:rowOff>
    </xdr:to>
    <xdr:sp macro="" textlink="">
      <xdr:nvSpPr>
        <xdr:cNvPr id="51901" name="Rectangle 505">
          <a:extLst>
            <a:ext uri="{FF2B5EF4-FFF2-40B4-BE49-F238E27FC236}">
              <a16:creationId xmlns:a16="http://schemas.microsoft.com/office/drawing/2014/main" id="{00000000-0008-0000-0100-0000BDCA0000}"/>
            </a:ext>
          </a:extLst>
        </xdr:cNvPr>
        <xdr:cNvSpPr>
          <a:spLocks noChangeArrowheads="1"/>
        </xdr:cNvSpPr>
      </xdr:nvSpPr>
      <xdr:spPr bwMode="auto">
        <a:xfrm>
          <a:off x="33356550" y="24526875"/>
          <a:ext cx="781050" cy="295275"/>
        </a:xfrm>
        <a:prstGeom prst="rect">
          <a:avLst/>
        </a:prstGeom>
        <a:noFill/>
        <a:ln w="19050" algn="ctr">
          <a:solidFill>
            <a:srgbClr val="FF0000"/>
          </a:solidFill>
          <a:miter lim="800000"/>
          <a:headEnd/>
          <a:tailEnd/>
        </a:ln>
      </xdr:spPr>
    </xdr:sp>
    <xdr:clientData/>
  </xdr:twoCellAnchor>
  <xdr:twoCellAnchor>
    <xdr:from>
      <xdr:col>28</xdr:col>
      <xdr:colOff>381000</xdr:colOff>
      <xdr:row>48</xdr:row>
      <xdr:rowOff>76200</xdr:rowOff>
    </xdr:from>
    <xdr:to>
      <xdr:col>28</xdr:col>
      <xdr:colOff>381000</xdr:colOff>
      <xdr:row>48</xdr:row>
      <xdr:rowOff>209550</xdr:rowOff>
    </xdr:to>
    <xdr:sp macro="" textlink="">
      <xdr:nvSpPr>
        <xdr:cNvPr id="51902" name="Line 506">
          <a:extLst>
            <a:ext uri="{FF2B5EF4-FFF2-40B4-BE49-F238E27FC236}">
              <a16:creationId xmlns:a16="http://schemas.microsoft.com/office/drawing/2014/main" id="{00000000-0008-0000-0100-0000BECA0000}"/>
            </a:ext>
          </a:extLst>
        </xdr:cNvPr>
        <xdr:cNvSpPr>
          <a:spLocks noChangeShapeType="1"/>
        </xdr:cNvSpPr>
      </xdr:nvSpPr>
      <xdr:spPr bwMode="auto">
        <a:xfrm>
          <a:off x="32223075" y="24403050"/>
          <a:ext cx="0" cy="133350"/>
        </a:xfrm>
        <a:prstGeom prst="line">
          <a:avLst/>
        </a:prstGeom>
        <a:noFill/>
        <a:ln w="19050">
          <a:solidFill>
            <a:srgbClr val="FF0000"/>
          </a:solidFill>
          <a:round/>
          <a:headEnd/>
          <a:tailEnd type="triangle" w="med" len="med"/>
        </a:ln>
      </xdr:spPr>
    </xdr:sp>
    <xdr:clientData/>
  </xdr:twoCellAnchor>
  <xdr:twoCellAnchor>
    <xdr:from>
      <xdr:col>30</xdr:col>
      <xdr:colOff>381000</xdr:colOff>
      <xdr:row>48</xdr:row>
      <xdr:rowOff>76200</xdr:rowOff>
    </xdr:from>
    <xdr:to>
      <xdr:col>30</xdr:col>
      <xdr:colOff>381000</xdr:colOff>
      <xdr:row>48</xdr:row>
      <xdr:rowOff>209550</xdr:rowOff>
    </xdr:to>
    <xdr:sp macro="" textlink="">
      <xdr:nvSpPr>
        <xdr:cNvPr id="51903" name="Line 507">
          <a:extLst>
            <a:ext uri="{FF2B5EF4-FFF2-40B4-BE49-F238E27FC236}">
              <a16:creationId xmlns:a16="http://schemas.microsoft.com/office/drawing/2014/main" id="{00000000-0008-0000-0100-0000BFCA0000}"/>
            </a:ext>
          </a:extLst>
        </xdr:cNvPr>
        <xdr:cNvSpPr>
          <a:spLocks noChangeShapeType="1"/>
        </xdr:cNvSpPr>
      </xdr:nvSpPr>
      <xdr:spPr bwMode="auto">
        <a:xfrm>
          <a:off x="33747075" y="24403050"/>
          <a:ext cx="0" cy="133350"/>
        </a:xfrm>
        <a:prstGeom prst="line">
          <a:avLst/>
        </a:prstGeom>
        <a:noFill/>
        <a:ln w="19050">
          <a:solidFill>
            <a:srgbClr val="FF0000"/>
          </a:solidFill>
          <a:round/>
          <a:headEnd/>
          <a:tailEnd type="triangle" w="med" len="med"/>
        </a:ln>
      </xdr:spPr>
    </xdr:sp>
    <xdr:clientData/>
  </xdr:twoCellAnchor>
  <xdr:twoCellAnchor>
    <xdr:from>
      <xdr:col>28</xdr:col>
      <xdr:colOff>371475</xdr:colOff>
      <xdr:row>50</xdr:row>
      <xdr:rowOff>95250</xdr:rowOff>
    </xdr:from>
    <xdr:to>
      <xdr:col>28</xdr:col>
      <xdr:colOff>371475</xdr:colOff>
      <xdr:row>50</xdr:row>
      <xdr:rowOff>295275</xdr:rowOff>
    </xdr:to>
    <xdr:sp macro="" textlink="">
      <xdr:nvSpPr>
        <xdr:cNvPr id="51904" name="Line 508">
          <a:extLst>
            <a:ext uri="{FF2B5EF4-FFF2-40B4-BE49-F238E27FC236}">
              <a16:creationId xmlns:a16="http://schemas.microsoft.com/office/drawing/2014/main" id="{00000000-0008-0000-0100-0000C0CA0000}"/>
            </a:ext>
          </a:extLst>
        </xdr:cNvPr>
        <xdr:cNvSpPr>
          <a:spLocks noChangeShapeType="1"/>
        </xdr:cNvSpPr>
      </xdr:nvSpPr>
      <xdr:spPr bwMode="auto">
        <a:xfrm>
          <a:off x="32213550" y="24841200"/>
          <a:ext cx="0" cy="200025"/>
        </a:xfrm>
        <a:prstGeom prst="line">
          <a:avLst/>
        </a:prstGeom>
        <a:noFill/>
        <a:ln w="19050">
          <a:solidFill>
            <a:srgbClr val="FF0000"/>
          </a:solidFill>
          <a:round/>
          <a:headEnd/>
          <a:tailEnd/>
        </a:ln>
      </xdr:spPr>
    </xdr:sp>
    <xdr:clientData/>
  </xdr:twoCellAnchor>
  <xdr:twoCellAnchor>
    <xdr:from>
      <xdr:col>28</xdr:col>
      <xdr:colOff>381000</xdr:colOff>
      <xdr:row>56</xdr:row>
      <xdr:rowOff>285750</xdr:rowOff>
    </xdr:from>
    <xdr:to>
      <xdr:col>30</xdr:col>
      <xdr:colOff>381000</xdr:colOff>
      <xdr:row>56</xdr:row>
      <xdr:rowOff>285750</xdr:rowOff>
    </xdr:to>
    <xdr:sp macro="" textlink="">
      <xdr:nvSpPr>
        <xdr:cNvPr id="51905" name="Line 509">
          <a:extLst>
            <a:ext uri="{FF2B5EF4-FFF2-40B4-BE49-F238E27FC236}">
              <a16:creationId xmlns:a16="http://schemas.microsoft.com/office/drawing/2014/main" id="{00000000-0008-0000-0100-0000C1CA0000}"/>
            </a:ext>
          </a:extLst>
        </xdr:cNvPr>
        <xdr:cNvSpPr>
          <a:spLocks noChangeShapeType="1"/>
        </xdr:cNvSpPr>
      </xdr:nvSpPr>
      <xdr:spPr bwMode="auto">
        <a:xfrm>
          <a:off x="32223075" y="26593800"/>
          <a:ext cx="1524000" cy="0"/>
        </a:xfrm>
        <a:prstGeom prst="line">
          <a:avLst/>
        </a:prstGeom>
        <a:noFill/>
        <a:ln w="19050">
          <a:solidFill>
            <a:srgbClr val="FF0000"/>
          </a:solidFill>
          <a:round/>
          <a:headEnd/>
          <a:tailEnd/>
        </a:ln>
      </xdr:spPr>
    </xdr:sp>
    <xdr:clientData/>
  </xdr:twoCellAnchor>
  <xdr:twoCellAnchor>
    <xdr:from>
      <xdr:col>27</xdr:col>
      <xdr:colOff>752475</xdr:colOff>
      <xdr:row>54</xdr:row>
      <xdr:rowOff>200025</xdr:rowOff>
    </xdr:from>
    <xdr:to>
      <xdr:col>29</xdr:col>
      <xdr:colOff>9525</xdr:colOff>
      <xdr:row>56</xdr:row>
      <xdr:rowOff>76200</xdr:rowOff>
    </xdr:to>
    <xdr:sp macro="" textlink="">
      <xdr:nvSpPr>
        <xdr:cNvPr id="51906" name="Rectangle 510">
          <a:extLst>
            <a:ext uri="{FF2B5EF4-FFF2-40B4-BE49-F238E27FC236}">
              <a16:creationId xmlns:a16="http://schemas.microsoft.com/office/drawing/2014/main" id="{00000000-0008-0000-0100-0000C2CA0000}"/>
            </a:ext>
          </a:extLst>
        </xdr:cNvPr>
        <xdr:cNvSpPr>
          <a:spLocks noChangeArrowheads="1"/>
        </xdr:cNvSpPr>
      </xdr:nvSpPr>
      <xdr:spPr bwMode="auto">
        <a:xfrm>
          <a:off x="31842075" y="25860375"/>
          <a:ext cx="771525" cy="523875"/>
        </a:xfrm>
        <a:prstGeom prst="rect">
          <a:avLst/>
        </a:prstGeom>
        <a:noFill/>
        <a:ln w="19050" algn="ctr">
          <a:solidFill>
            <a:srgbClr val="FF0000"/>
          </a:solidFill>
          <a:miter lim="800000"/>
          <a:headEnd/>
          <a:tailEnd/>
        </a:ln>
      </xdr:spPr>
    </xdr:sp>
    <xdr:clientData/>
  </xdr:twoCellAnchor>
  <xdr:twoCellAnchor>
    <xdr:from>
      <xdr:col>29</xdr:col>
      <xdr:colOff>752475</xdr:colOff>
      <xdr:row>54</xdr:row>
      <xdr:rowOff>200025</xdr:rowOff>
    </xdr:from>
    <xdr:to>
      <xdr:col>31</xdr:col>
      <xdr:colOff>9525</xdr:colOff>
      <xdr:row>56</xdr:row>
      <xdr:rowOff>76200</xdr:rowOff>
    </xdr:to>
    <xdr:sp macro="" textlink="">
      <xdr:nvSpPr>
        <xdr:cNvPr id="51907" name="Rectangle 511">
          <a:extLst>
            <a:ext uri="{FF2B5EF4-FFF2-40B4-BE49-F238E27FC236}">
              <a16:creationId xmlns:a16="http://schemas.microsoft.com/office/drawing/2014/main" id="{00000000-0008-0000-0100-0000C3CA0000}"/>
            </a:ext>
          </a:extLst>
        </xdr:cNvPr>
        <xdr:cNvSpPr>
          <a:spLocks noChangeArrowheads="1"/>
        </xdr:cNvSpPr>
      </xdr:nvSpPr>
      <xdr:spPr bwMode="auto">
        <a:xfrm>
          <a:off x="33356550" y="25860375"/>
          <a:ext cx="781050" cy="523875"/>
        </a:xfrm>
        <a:prstGeom prst="rect">
          <a:avLst/>
        </a:prstGeom>
        <a:noFill/>
        <a:ln w="19050" algn="ctr">
          <a:solidFill>
            <a:srgbClr val="FF0000"/>
          </a:solidFill>
          <a:miter lim="800000"/>
          <a:headEnd/>
          <a:tailEnd/>
        </a:ln>
      </xdr:spPr>
    </xdr:sp>
    <xdr:clientData/>
  </xdr:twoCellAnchor>
  <xdr:twoCellAnchor>
    <xdr:from>
      <xdr:col>28</xdr:col>
      <xdr:colOff>371475</xdr:colOff>
      <xdr:row>56</xdr:row>
      <xdr:rowOff>95250</xdr:rowOff>
    </xdr:from>
    <xdr:to>
      <xdr:col>28</xdr:col>
      <xdr:colOff>371475</xdr:colOff>
      <xdr:row>56</xdr:row>
      <xdr:rowOff>295275</xdr:rowOff>
    </xdr:to>
    <xdr:sp macro="" textlink="">
      <xdr:nvSpPr>
        <xdr:cNvPr id="51908" name="Line 512">
          <a:extLst>
            <a:ext uri="{FF2B5EF4-FFF2-40B4-BE49-F238E27FC236}">
              <a16:creationId xmlns:a16="http://schemas.microsoft.com/office/drawing/2014/main" id="{00000000-0008-0000-0100-0000C4CA0000}"/>
            </a:ext>
          </a:extLst>
        </xdr:cNvPr>
        <xdr:cNvSpPr>
          <a:spLocks noChangeShapeType="1"/>
        </xdr:cNvSpPr>
      </xdr:nvSpPr>
      <xdr:spPr bwMode="auto">
        <a:xfrm>
          <a:off x="32213550" y="26403300"/>
          <a:ext cx="0" cy="200025"/>
        </a:xfrm>
        <a:prstGeom prst="line">
          <a:avLst/>
        </a:prstGeom>
        <a:noFill/>
        <a:ln w="19050">
          <a:solidFill>
            <a:srgbClr val="FF0000"/>
          </a:solidFill>
          <a:round/>
          <a:headEnd/>
          <a:tailEnd/>
        </a:ln>
      </xdr:spPr>
    </xdr:sp>
    <xdr:clientData/>
  </xdr:twoCellAnchor>
  <xdr:twoCellAnchor>
    <xdr:from>
      <xdr:col>30</xdr:col>
      <xdr:colOff>390525</xdr:colOff>
      <xdr:row>56</xdr:row>
      <xdr:rowOff>95250</xdr:rowOff>
    </xdr:from>
    <xdr:to>
      <xdr:col>30</xdr:col>
      <xdr:colOff>390525</xdr:colOff>
      <xdr:row>56</xdr:row>
      <xdr:rowOff>295275</xdr:rowOff>
    </xdr:to>
    <xdr:sp macro="" textlink="">
      <xdr:nvSpPr>
        <xdr:cNvPr id="51909" name="Line 513">
          <a:extLst>
            <a:ext uri="{FF2B5EF4-FFF2-40B4-BE49-F238E27FC236}">
              <a16:creationId xmlns:a16="http://schemas.microsoft.com/office/drawing/2014/main" id="{00000000-0008-0000-0100-0000C5CA0000}"/>
            </a:ext>
          </a:extLst>
        </xdr:cNvPr>
        <xdr:cNvSpPr>
          <a:spLocks noChangeShapeType="1"/>
        </xdr:cNvSpPr>
      </xdr:nvSpPr>
      <xdr:spPr bwMode="auto">
        <a:xfrm>
          <a:off x="33756600" y="26403300"/>
          <a:ext cx="0" cy="200025"/>
        </a:xfrm>
        <a:prstGeom prst="line">
          <a:avLst/>
        </a:prstGeom>
        <a:noFill/>
        <a:ln w="19050">
          <a:solidFill>
            <a:srgbClr val="FF0000"/>
          </a:solidFill>
          <a:round/>
          <a:headEnd/>
          <a:tailEnd/>
        </a:ln>
      </xdr:spPr>
    </xdr:sp>
    <xdr:clientData/>
  </xdr:twoCellAnchor>
  <xdr:twoCellAnchor>
    <xdr:from>
      <xdr:col>29</xdr:col>
      <xdr:colOff>342900</xdr:colOff>
      <xdr:row>56</xdr:row>
      <xdr:rowOff>276225</xdr:rowOff>
    </xdr:from>
    <xdr:to>
      <xdr:col>29</xdr:col>
      <xdr:colOff>361950</xdr:colOff>
      <xdr:row>61</xdr:row>
      <xdr:rowOff>76200</xdr:rowOff>
    </xdr:to>
    <xdr:sp macro="" textlink="">
      <xdr:nvSpPr>
        <xdr:cNvPr id="51910" name="Line 514">
          <a:extLst>
            <a:ext uri="{FF2B5EF4-FFF2-40B4-BE49-F238E27FC236}">
              <a16:creationId xmlns:a16="http://schemas.microsoft.com/office/drawing/2014/main" id="{00000000-0008-0000-0100-0000C6CA0000}"/>
            </a:ext>
          </a:extLst>
        </xdr:cNvPr>
        <xdr:cNvSpPr>
          <a:spLocks noChangeShapeType="1"/>
        </xdr:cNvSpPr>
      </xdr:nvSpPr>
      <xdr:spPr bwMode="auto">
        <a:xfrm flipH="1">
          <a:off x="32946975" y="26584275"/>
          <a:ext cx="19050" cy="857250"/>
        </a:xfrm>
        <a:prstGeom prst="line">
          <a:avLst/>
        </a:prstGeom>
        <a:noFill/>
        <a:ln w="19050">
          <a:solidFill>
            <a:srgbClr val="FF0000"/>
          </a:solidFill>
          <a:round/>
          <a:headEnd/>
          <a:tailEnd type="triangle" w="med" len="med"/>
        </a:ln>
      </xdr:spPr>
    </xdr:sp>
    <xdr:clientData/>
  </xdr:twoCellAnchor>
  <xdr:twoCellAnchor>
    <xdr:from>
      <xdr:col>28</xdr:col>
      <xdr:colOff>752475</xdr:colOff>
      <xdr:row>68</xdr:row>
      <xdr:rowOff>133350</xdr:rowOff>
    </xdr:from>
    <xdr:to>
      <xdr:col>30</xdr:col>
      <xdr:colOff>9525</xdr:colOff>
      <xdr:row>71</xdr:row>
      <xdr:rowOff>9525</xdr:rowOff>
    </xdr:to>
    <xdr:sp macro="" textlink="">
      <xdr:nvSpPr>
        <xdr:cNvPr id="51911" name="Rectangle 515">
          <a:extLst>
            <a:ext uri="{FF2B5EF4-FFF2-40B4-BE49-F238E27FC236}">
              <a16:creationId xmlns:a16="http://schemas.microsoft.com/office/drawing/2014/main" id="{00000000-0008-0000-0100-0000C7CA0000}"/>
            </a:ext>
          </a:extLst>
        </xdr:cNvPr>
        <xdr:cNvSpPr>
          <a:spLocks noChangeArrowheads="1"/>
        </xdr:cNvSpPr>
      </xdr:nvSpPr>
      <xdr:spPr bwMode="auto">
        <a:xfrm>
          <a:off x="32594550" y="29117925"/>
          <a:ext cx="781050" cy="381000"/>
        </a:xfrm>
        <a:prstGeom prst="rect">
          <a:avLst/>
        </a:prstGeom>
        <a:noFill/>
        <a:ln w="19050" algn="ctr">
          <a:solidFill>
            <a:srgbClr val="FF0000"/>
          </a:solidFill>
          <a:miter lim="800000"/>
          <a:headEnd/>
          <a:tailEnd/>
        </a:ln>
      </xdr:spPr>
    </xdr:sp>
    <xdr:clientData/>
  </xdr:twoCellAnchor>
  <xdr:twoCellAnchor>
    <xdr:from>
      <xdr:col>32</xdr:col>
      <xdr:colOff>200025</xdr:colOff>
      <xdr:row>47</xdr:row>
      <xdr:rowOff>342900</xdr:rowOff>
    </xdr:from>
    <xdr:to>
      <xdr:col>32</xdr:col>
      <xdr:colOff>200025</xdr:colOff>
      <xdr:row>66</xdr:row>
      <xdr:rowOff>247650</xdr:rowOff>
    </xdr:to>
    <xdr:sp macro="" textlink="">
      <xdr:nvSpPr>
        <xdr:cNvPr id="51912" name="Line 516">
          <a:extLst>
            <a:ext uri="{FF2B5EF4-FFF2-40B4-BE49-F238E27FC236}">
              <a16:creationId xmlns:a16="http://schemas.microsoft.com/office/drawing/2014/main" id="{00000000-0008-0000-0100-0000C8CA0000}"/>
            </a:ext>
          </a:extLst>
        </xdr:cNvPr>
        <xdr:cNvSpPr>
          <a:spLocks noChangeShapeType="1"/>
        </xdr:cNvSpPr>
      </xdr:nvSpPr>
      <xdr:spPr bwMode="auto">
        <a:xfrm flipV="1">
          <a:off x="35090100" y="24203025"/>
          <a:ext cx="0" cy="4419600"/>
        </a:xfrm>
        <a:prstGeom prst="line">
          <a:avLst/>
        </a:prstGeom>
        <a:noFill/>
        <a:ln w="19050">
          <a:solidFill>
            <a:srgbClr val="FF0000"/>
          </a:solidFill>
          <a:round/>
          <a:headEnd/>
          <a:tailEnd/>
        </a:ln>
      </xdr:spPr>
    </xdr:sp>
    <xdr:clientData/>
  </xdr:twoCellAnchor>
  <xdr:twoCellAnchor>
    <xdr:from>
      <xdr:col>29</xdr:col>
      <xdr:colOff>352425</xdr:colOff>
      <xdr:row>47</xdr:row>
      <xdr:rowOff>323850</xdr:rowOff>
    </xdr:from>
    <xdr:to>
      <xdr:col>32</xdr:col>
      <xdr:colOff>200025</xdr:colOff>
      <xdr:row>47</xdr:row>
      <xdr:rowOff>323850</xdr:rowOff>
    </xdr:to>
    <xdr:sp macro="" textlink="">
      <xdr:nvSpPr>
        <xdr:cNvPr id="51913" name="Line 517">
          <a:extLst>
            <a:ext uri="{FF2B5EF4-FFF2-40B4-BE49-F238E27FC236}">
              <a16:creationId xmlns:a16="http://schemas.microsoft.com/office/drawing/2014/main" id="{00000000-0008-0000-0100-0000C9CA0000}"/>
            </a:ext>
          </a:extLst>
        </xdr:cNvPr>
        <xdr:cNvSpPr>
          <a:spLocks noChangeShapeType="1"/>
        </xdr:cNvSpPr>
      </xdr:nvSpPr>
      <xdr:spPr bwMode="auto">
        <a:xfrm flipH="1">
          <a:off x="32956500" y="24183975"/>
          <a:ext cx="2133600" cy="0"/>
        </a:xfrm>
        <a:prstGeom prst="line">
          <a:avLst/>
        </a:prstGeom>
        <a:noFill/>
        <a:ln w="19050">
          <a:solidFill>
            <a:srgbClr val="FF0000"/>
          </a:solidFill>
          <a:round/>
          <a:headEnd/>
          <a:tailEnd type="triangle" w="med" len="med"/>
        </a:ln>
      </xdr:spPr>
    </xdr:sp>
    <xdr:clientData/>
  </xdr:twoCellAnchor>
  <xdr:twoCellAnchor>
    <xdr:from>
      <xdr:col>30</xdr:col>
      <xdr:colOff>190500</xdr:colOff>
      <xdr:row>66</xdr:row>
      <xdr:rowOff>0</xdr:rowOff>
    </xdr:from>
    <xdr:to>
      <xdr:col>30</xdr:col>
      <xdr:colOff>447675</xdr:colOff>
      <xdr:row>66</xdr:row>
      <xdr:rowOff>142875</xdr:rowOff>
    </xdr:to>
    <xdr:sp macro="" textlink="">
      <xdr:nvSpPr>
        <xdr:cNvPr id="51718" name="Text Box 518">
          <a:extLst>
            <a:ext uri="{FF2B5EF4-FFF2-40B4-BE49-F238E27FC236}">
              <a16:creationId xmlns:a16="http://schemas.microsoft.com/office/drawing/2014/main" id="{00000000-0008-0000-0100-000006CA0000}"/>
            </a:ext>
          </a:extLst>
        </xdr:cNvPr>
        <xdr:cNvSpPr txBox="1">
          <a:spLocks noChangeArrowheads="1"/>
        </xdr:cNvSpPr>
      </xdr:nvSpPr>
      <xdr:spPr bwMode="auto">
        <a:xfrm>
          <a:off x="32804100" y="26793825"/>
          <a:ext cx="257175" cy="142875"/>
        </a:xfrm>
        <a:prstGeom prst="rect">
          <a:avLst/>
        </a:prstGeom>
        <a:noFill/>
        <a:ln>
          <a:noFill/>
        </a:ln>
        <a:effectLst/>
      </xdr:spPr>
      <xdr:txBody>
        <a:bodyPr vertOverflow="clip" wrap="square" lIns="27432" tIns="22860" rIns="0" bIns="0" anchor="t" upright="1"/>
        <a:lstStyle/>
        <a:p>
          <a:pPr algn="l" rtl="0">
            <a:defRPr sz="1000"/>
          </a:pPr>
          <a:r>
            <a:rPr lang="en-GB" sz="800" b="0" i="0" u="none" strike="noStrike" baseline="0">
              <a:solidFill>
                <a:srgbClr val="000000"/>
              </a:solidFill>
              <a:latin typeface="Arial"/>
              <a:cs typeface="Arial"/>
            </a:rPr>
            <a:t>NO</a:t>
          </a:r>
          <a:endParaRPr lang="en-GB"/>
        </a:p>
      </xdr:txBody>
    </xdr:sp>
    <xdr:clientData/>
  </xdr:twoCellAnchor>
  <xdr:twoCellAnchor>
    <xdr:from>
      <xdr:col>31</xdr:col>
      <xdr:colOff>457200</xdr:colOff>
      <xdr:row>48</xdr:row>
      <xdr:rowOff>142875</xdr:rowOff>
    </xdr:from>
    <xdr:to>
      <xdr:col>32</xdr:col>
      <xdr:colOff>581025</xdr:colOff>
      <xdr:row>50</xdr:row>
      <xdr:rowOff>200025</xdr:rowOff>
    </xdr:to>
    <xdr:sp macro="" textlink="">
      <xdr:nvSpPr>
        <xdr:cNvPr id="51719" name="AutoShape 519">
          <a:extLst>
            <a:ext uri="{FF2B5EF4-FFF2-40B4-BE49-F238E27FC236}">
              <a16:creationId xmlns:a16="http://schemas.microsoft.com/office/drawing/2014/main" id="{00000000-0008-0000-0100-000007CA0000}"/>
            </a:ext>
          </a:extLst>
        </xdr:cNvPr>
        <xdr:cNvSpPr>
          <a:spLocks noChangeArrowheads="1"/>
        </xdr:cNvSpPr>
      </xdr:nvSpPr>
      <xdr:spPr bwMode="auto">
        <a:xfrm>
          <a:off x="33832800" y="23088600"/>
          <a:ext cx="885825" cy="476250"/>
        </a:xfrm>
        <a:prstGeom prst="flowChartDocument">
          <a:avLst/>
        </a:prstGeom>
        <a:solidFill>
          <a:srgbClr val="FF9900"/>
        </a:solidFill>
        <a:ln w="28575" algn="ctr">
          <a:solidFill>
            <a:srgbClr val="808080"/>
          </a:solidFill>
          <a:miter lim="800000"/>
          <a:headEnd/>
          <a:tailEnd/>
        </a:ln>
        <a:effectLst/>
      </xdr:spPr>
      <xdr:txBody>
        <a:bodyPr vertOverflow="clip" wrap="square" lIns="18288" tIns="18288" rIns="18288" bIns="0" anchor="t" upright="1"/>
        <a:lstStyle/>
        <a:p>
          <a:pPr algn="ctr" rtl="0">
            <a:defRPr sz="1000"/>
          </a:pPr>
          <a:r>
            <a:rPr lang="en-GB" sz="1000" b="0" i="0" u="none" strike="noStrike" baseline="0">
              <a:solidFill>
                <a:srgbClr val="000000"/>
              </a:solidFill>
              <a:latin typeface="Arial"/>
              <a:cs typeface="Arial"/>
            </a:rPr>
            <a:t>Ishikawa</a:t>
          </a:r>
          <a:endParaRPr lang="en-GB"/>
        </a:p>
      </xdr:txBody>
    </xdr:sp>
    <xdr:clientData/>
  </xdr:twoCellAnchor>
  <xdr:twoCellAnchor>
    <xdr:from>
      <xdr:col>31</xdr:col>
      <xdr:colOff>0</xdr:colOff>
      <xdr:row>49</xdr:row>
      <xdr:rowOff>142875</xdr:rowOff>
    </xdr:from>
    <xdr:to>
      <xdr:col>31</xdr:col>
      <xdr:colOff>457200</xdr:colOff>
      <xdr:row>49</xdr:row>
      <xdr:rowOff>142875</xdr:rowOff>
    </xdr:to>
    <xdr:sp macro="" textlink="">
      <xdr:nvSpPr>
        <xdr:cNvPr id="51916" name="Line 520">
          <a:extLst>
            <a:ext uri="{FF2B5EF4-FFF2-40B4-BE49-F238E27FC236}">
              <a16:creationId xmlns:a16="http://schemas.microsoft.com/office/drawing/2014/main" id="{00000000-0008-0000-0100-0000CCCA0000}"/>
            </a:ext>
          </a:extLst>
        </xdr:cNvPr>
        <xdr:cNvSpPr>
          <a:spLocks noChangeShapeType="1"/>
        </xdr:cNvSpPr>
      </xdr:nvSpPr>
      <xdr:spPr bwMode="auto">
        <a:xfrm>
          <a:off x="34128075" y="24688800"/>
          <a:ext cx="457200" cy="0"/>
        </a:xfrm>
        <a:prstGeom prst="line">
          <a:avLst/>
        </a:prstGeom>
        <a:noFill/>
        <a:ln w="28575">
          <a:solidFill>
            <a:srgbClr val="808080"/>
          </a:solidFill>
          <a:round/>
          <a:headEnd/>
          <a:tailEnd/>
        </a:ln>
      </xdr:spPr>
    </xdr:sp>
    <xdr:clientData/>
  </xdr:twoCellAnchor>
  <xdr:twoCellAnchor>
    <xdr:from>
      <xdr:col>29</xdr:col>
      <xdr:colOff>9525</xdr:colOff>
      <xdr:row>44</xdr:row>
      <xdr:rowOff>171450</xdr:rowOff>
    </xdr:from>
    <xdr:to>
      <xdr:col>30</xdr:col>
      <xdr:colOff>28575</xdr:colOff>
      <xdr:row>46</xdr:row>
      <xdr:rowOff>152400</xdr:rowOff>
    </xdr:to>
    <xdr:sp macro="" textlink="">
      <xdr:nvSpPr>
        <xdr:cNvPr id="51917" name="Rectangle 521">
          <a:extLst>
            <a:ext uri="{FF2B5EF4-FFF2-40B4-BE49-F238E27FC236}">
              <a16:creationId xmlns:a16="http://schemas.microsoft.com/office/drawing/2014/main" id="{00000000-0008-0000-0100-0000CDCA0000}"/>
            </a:ext>
          </a:extLst>
        </xdr:cNvPr>
        <xdr:cNvSpPr>
          <a:spLocks noChangeArrowheads="1"/>
        </xdr:cNvSpPr>
      </xdr:nvSpPr>
      <xdr:spPr bwMode="auto">
        <a:xfrm>
          <a:off x="32613600" y="23479125"/>
          <a:ext cx="781050" cy="342900"/>
        </a:xfrm>
        <a:prstGeom prst="rect">
          <a:avLst/>
        </a:prstGeom>
        <a:noFill/>
        <a:ln w="19050" algn="ctr">
          <a:solidFill>
            <a:srgbClr val="FF0000"/>
          </a:solidFill>
          <a:miter lim="800000"/>
          <a:headEnd/>
          <a:tailEnd/>
        </a:ln>
      </xdr:spPr>
    </xdr:sp>
    <xdr:clientData/>
  </xdr:twoCellAnchor>
  <xdr:twoCellAnchor>
    <xdr:from>
      <xdr:col>27</xdr:col>
      <xdr:colOff>47625</xdr:colOff>
      <xdr:row>48</xdr:row>
      <xdr:rowOff>47625</xdr:rowOff>
    </xdr:from>
    <xdr:to>
      <xdr:col>28</xdr:col>
      <xdr:colOff>282848</xdr:colOff>
      <xdr:row>48</xdr:row>
      <xdr:rowOff>222609</xdr:rowOff>
    </xdr:to>
    <xdr:sp macro="" textlink="">
      <xdr:nvSpPr>
        <xdr:cNvPr id="51722" name="Text Box 522">
          <a:extLst>
            <a:ext uri="{FF2B5EF4-FFF2-40B4-BE49-F238E27FC236}">
              <a16:creationId xmlns:a16="http://schemas.microsoft.com/office/drawing/2014/main" id="{00000000-0008-0000-0100-00000ACA0000}"/>
            </a:ext>
          </a:extLst>
        </xdr:cNvPr>
        <xdr:cNvSpPr txBox="1">
          <a:spLocks noChangeArrowheads="1"/>
        </xdr:cNvSpPr>
      </xdr:nvSpPr>
      <xdr:spPr bwMode="auto">
        <a:xfrm>
          <a:off x="30891307" y="23548398"/>
          <a:ext cx="529632" cy="174984"/>
        </a:xfrm>
        <a:prstGeom prst="rect">
          <a:avLst/>
        </a:prstGeom>
        <a:noFill/>
        <a:ln>
          <a:noFill/>
        </a:ln>
        <a:effectLst/>
      </xdr:spPr>
      <xdr:txBody>
        <a:bodyPr wrap="none" lIns="9144" tIns="18288" rIns="0" bIns="0" anchor="t" upright="1">
          <a:noAutofit/>
        </a:bodyPr>
        <a:lstStyle/>
        <a:p>
          <a:pPr algn="l" rtl="0">
            <a:defRPr sz="1000"/>
          </a:pPr>
          <a:r>
            <a:rPr lang="en-GB" sz="1000" b="0" i="0" u="none" strike="noStrike" baseline="0">
              <a:solidFill>
                <a:srgbClr val="000000"/>
              </a:solidFill>
              <a:latin typeface="Arial"/>
              <a:cs typeface="Arial"/>
            </a:rPr>
            <a:t>Option 1:</a:t>
          </a:r>
          <a:endParaRPr lang="en-GB"/>
        </a:p>
      </xdr:txBody>
    </xdr:sp>
    <xdr:clientData/>
  </xdr:twoCellAnchor>
  <xdr:twoCellAnchor>
    <xdr:from>
      <xdr:col>30</xdr:col>
      <xdr:colOff>571500</xdr:colOff>
      <xdr:row>48</xdr:row>
      <xdr:rowOff>0</xdr:rowOff>
    </xdr:from>
    <xdr:to>
      <xdr:col>31</xdr:col>
      <xdr:colOff>339132</xdr:colOff>
      <xdr:row>48</xdr:row>
      <xdr:rowOff>174984</xdr:rowOff>
    </xdr:to>
    <xdr:sp macro="" textlink="">
      <xdr:nvSpPr>
        <xdr:cNvPr id="51723" name="Text Box 523">
          <a:extLst>
            <a:ext uri="{FF2B5EF4-FFF2-40B4-BE49-F238E27FC236}">
              <a16:creationId xmlns:a16="http://schemas.microsoft.com/office/drawing/2014/main" id="{00000000-0008-0000-0100-00000BCA0000}"/>
            </a:ext>
          </a:extLst>
        </xdr:cNvPr>
        <xdr:cNvSpPr txBox="1">
          <a:spLocks noChangeArrowheads="1"/>
        </xdr:cNvSpPr>
      </xdr:nvSpPr>
      <xdr:spPr bwMode="auto">
        <a:xfrm>
          <a:off x="33233591" y="23500773"/>
          <a:ext cx="529632" cy="174984"/>
        </a:xfrm>
        <a:prstGeom prst="rect">
          <a:avLst/>
        </a:prstGeom>
        <a:noFill/>
        <a:ln>
          <a:noFill/>
        </a:ln>
        <a:effectLst/>
      </xdr:spPr>
      <xdr:txBody>
        <a:bodyPr wrap="none" lIns="9144" tIns="18288" rIns="0" bIns="0" anchor="t" upright="1">
          <a:noAutofit/>
        </a:bodyPr>
        <a:lstStyle/>
        <a:p>
          <a:pPr algn="l" rtl="0">
            <a:defRPr sz="1000"/>
          </a:pPr>
          <a:r>
            <a:rPr lang="en-GB" sz="1000" b="0" i="0" u="none" strike="noStrike" baseline="0">
              <a:solidFill>
                <a:srgbClr val="000000"/>
              </a:solidFill>
              <a:latin typeface="Arial"/>
              <a:cs typeface="Arial"/>
            </a:rPr>
            <a:t>Option 2:</a:t>
          </a:r>
          <a:endParaRPr lang="en-GB"/>
        </a:p>
      </xdr:txBody>
    </xdr:sp>
    <xdr:clientData/>
  </xdr:twoCellAnchor>
  <xdr:twoCellAnchor>
    <xdr:from>
      <xdr:col>30</xdr:col>
      <xdr:colOff>419100</xdr:colOff>
      <xdr:row>50</xdr:row>
      <xdr:rowOff>85725</xdr:rowOff>
    </xdr:from>
    <xdr:to>
      <xdr:col>30</xdr:col>
      <xdr:colOff>428625</xdr:colOff>
      <xdr:row>54</xdr:row>
      <xdr:rowOff>228600</xdr:rowOff>
    </xdr:to>
    <xdr:sp macro="" textlink="">
      <xdr:nvSpPr>
        <xdr:cNvPr id="51920" name="Line 524">
          <a:extLst>
            <a:ext uri="{FF2B5EF4-FFF2-40B4-BE49-F238E27FC236}">
              <a16:creationId xmlns:a16="http://schemas.microsoft.com/office/drawing/2014/main" id="{00000000-0008-0000-0100-0000D0CA0000}"/>
            </a:ext>
          </a:extLst>
        </xdr:cNvPr>
        <xdr:cNvSpPr>
          <a:spLocks noChangeShapeType="1"/>
        </xdr:cNvSpPr>
      </xdr:nvSpPr>
      <xdr:spPr bwMode="auto">
        <a:xfrm>
          <a:off x="33785175" y="24831675"/>
          <a:ext cx="9525" cy="1057275"/>
        </a:xfrm>
        <a:prstGeom prst="line">
          <a:avLst/>
        </a:prstGeom>
        <a:noFill/>
        <a:ln w="19050">
          <a:solidFill>
            <a:srgbClr val="FF0000"/>
          </a:solidFill>
          <a:round/>
          <a:headEnd/>
          <a:tailEnd type="triangle" w="med" len="med"/>
        </a:ln>
      </xdr:spPr>
    </xdr:sp>
    <xdr:clientData/>
  </xdr:twoCellAnchor>
  <xdr:twoCellAnchor>
    <xdr:from>
      <xdr:col>29</xdr:col>
      <xdr:colOff>85725</xdr:colOff>
      <xdr:row>50</xdr:row>
      <xdr:rowOff>133350</xdr:rowOff>
    </xdr:from>
    <xdr:to>
      <xdr:col>30</xdr:col>
      <xdr:colOff>209550</xdr:colOff>
      <xdr:row>52</xdr:row>
      <xdr:rowOff>47625</xdr:rowOff>
    </xdr:to>
    <xdr:sp macro="" textlink="">
      <xdr:nvSpPr>
        <xdr:cNvPr id="51725" name="AutoShape 525">
          <a:extLst>
            <a:ext uri="{FF2B5EF4-FFF2-40B4-BE49-F238E27FC236}">
              <a16:creationId xmlns:a16="http://schemas.microsoft.com/office/drawing/2014/main" id="{00000000-0008-0000-0100-00000DCA0000}"/>
            </a:ext>
          </a:extLst>
        </xdr:cNvPr>
        <xdr:cNvSpPr>
          <a:spLocks noChangeArrowheads="1"/>
        </xdr:cNvSpPr>
      </xdr:nvSpPr>
      <xdr:spPr bwMode="auto">
        <a:xfrm>
          <a:off x="31937325" y="23498175"/>
          <a:ext cx="885825" cy="476250"/>
        </a:xfrm>
        <a:prstGeom prst="flowChartDocument">
          <a:avLst/>
        </a:prstGeom>
        <a:solidFill>
          <a:srgbClr val="FF9900"/>
        </a:solidFill>
        <a:ln w="28575" algn="ctr">
          <a:solidFill>
            <a:srgbClr val="808080"/>
          </a:solidFill>
          <a:miter lim="800000"/>
          <a:headEnd/>
          <a:tailEnd/>
        </a:ln>
        <a:effectLst/>
      </xdr:spPr>
      <xdr:txBody>
        <a:bodyPr vertOverflow="clip" wrap="square" lIns="18288" tIns="18288" rIns="18288" bIns="0" anchor="t" upright="1"/>
        <a:lstStyle/>
        <a:p>
          <a:pPr algn="ctr" rtl="0">
            <a:defRPr sz="1000"/>
          </a:pPr>
          <a:r>
            <a:rPr lang="en-GB" sz="1000" b="0" i="0" u="none" strike="noStrike" baseline="0">
              <a:solidFill>
                <a:srgbClr val="000000"/>
              </a:solidFill>
              <a:latin typeface="Arial"/>
              <a:cs typeface="Arial"/>
            </a:rPr>
            <a:t>Is | Is Not</a:t>
          </a:r>
          <a:endParaRPr lang="en-GB"/>
        </a:p>
      </xdr:txBody>
    </xdr:sp>
    <xdr:clientData/>
  </xdr:twoCellAnchor>
  <xdr:twoCellAnchor>
    <xdr:from>
      <xdr:col>28</xdr:col>
      <xdr:colOff>485775</xdr:colOff>
      <xdr:row>50</xdr:row>
      <xdr:rowOff>123825</xdr:rowOff>
    </xdr:from>
    <xdr:to>
      <xdr:col>29</xdr:col>
      <xdr:colOff>95250</xdr:colOff>
      <xdr:row>50</xdr:row>
      <xdr:rowOff>361950</xdr:rowOff>
    </xdr:to>
    <xdr:sp macro="" textlink="">
      <xdr:nvSpPr>
        <xdr:cNvPr id="51922" name="Line 526">
          <a:extLst>
            <a:ext uri="{FF2B5EF4-FFF2-40B4-BE49-F238E27FC236}">
              <a16:creationId xmlns:a16="http://schemas.microsoft.com/office/drawing/2014/main" id="{00000000-0008-0000-0100-0000D2CA0000}"/>
            </a:ext>
          </a:extLst>
        </xdr:cNvPr>
        <xdr:cNvSpPr>
          <a:spLocks noChangeShapeType="1"/>
        </xdr:cNvSpPr>
      </xdr:nvSpPr>
      <xdr:spPr bwMode="auto">
        <a:xfrm>
          <a:off x="32327850" y="24869775"/>
          <a:ext cx="371475" cy="238125"/>
        </a:xfrm>
        <a:prstGeom prst="line">
          <a:avLst/>
        </a:prstGeom>
        <a:noFill/>
        <a:ln w="28575">
          <a:solidFill>
            <a:srgbClr val="808080"/>
          </a:solidFill>
          <a:round/>
          <a:headEnd/>
          <a:tailEnd/>
        </a:ln>
      </xdr:spPr>
    </xdr:sp>
    <xdr:clientData/>
  </xdr:twoCellAnchor>
  <xdr:twoCellAnchor>
    <xdr:from>
      <xdr:col>31</xdr:col>
      <xdr:colOff>419100</xdr:colOff>
      <xdr:row>54</xdr:row>
      <xdr:rowOff>438150</xdr:rowOff>
    </xdr:from>
    <xdr:to>
      <xdr:col>32</xdr:col>
      <xdr:colOff>542925</xdr:colOff>
      <xdr:row>57</xdr:row>
      <xdr:rowOff>9525</xdr:rowOff>
    </xdr:to>
    <xdr:sp macro="" textlink="">
      <xdr:nvSpPr>
        <xdr:cNvPr id="51727" name="AutoShape 527">
          <a:extLst>
            <a:ext uri="{FF2B5EF4-FFF2-40B4-BE49-F238E27FC236}">
              <a16:creationId xmlns:a16="http://schemas.microsoft.com/office/drawing/2014/main" id="{00000000-0008-0000-0100-00000FCA0000}"/>
            </a:ext>
          </a:extLst>
        </xdr:cNvPr>
        <xdr:cNvSpPr>
          <a:spLocks noChangeArrowheads="1"/>
        </xdr:cNvSpPr>
      </xdr:nvSpPr>
      <xdr:spPr bwMode="auto">
        <a:xfrm>
          <a:off x="33794700" y="24717375"/>
          <a:ext cx="885825" cy="476250"/>
        </a:xfrm>
        <a:prstGeom prst="flowChartDocument">
          <a:avLst/>
        </a:prstGeom>
        <a:solidFill>
          <a:srgbClr val="FFFF99"/>
        </a:solidFill>
        <a:ln w="28575" algn="ctr">
          <a:solidFill>
            <a:srgbClr val="808080"/>
          </a:solidFill>
          <a:miter lim="800000"/>
          <a:headEnd/>
          <a:tailEnd/>
        </a:ln>
        <a:effectLst/>
      </xdr:spPr>
      <xdr:txBody>
        <a:bodyPr vertOverflow="clip" wrap="square" lIns="18288" tIns="18288" rIns="18288" bIns="0" anchor="t" upright="1"/>
        <a:lstStyle/>
        <a:p>
          <a:pPr algn="ctr" rtl="0">
            <a:defRPr sz="1000"/>
          </a:pPr>
          <a:r>
            <a:rPr lang="en-GB" sz="1000" b="0" i="0" u="none" strike="noStrike" baseline="0">
              <a:solidFill>
                <a:srgbClr val="000000"/>
              </a:solidFill>
              <a:latin typeface="Arial"/>
              <a:cs typeface="Arial"/>
            </a:rPr>
            <a:t>5 WHY</a:t>
          </a:r>
          <a:endParaRPr lang="en-GB"/>
        </a:p>
      </xdr:txBody>
    </xdr:sp>
    <xdr:clientData/>
  </xdr:twoCellAnchor>
  <xdr:twoCellAnchor>
    <xdr:from>
      <xdr:col>31</xdr:col>
      <xdr:colOff>38100</xdr:colOff>
      <xdr:row>54</xdr:row>
      <xdr:rowOff>381000</xdr:rowOff>
    </xdr:from>
    <xdr:to>
      <xdr:col>31</xdr:col>
      <xdr:colOff>409575</xdr:colOff>
      <xdr:row>56</xdr:row>
      <xdr:rowOff>171450</xdr:rowOff>
    </xdr:to>
    <xdr:sp macro="" textlink="">
      <xdr:nvSpPr>
        <xdr:cNvPr id="51924" name="Line 528">
          <a:extLst>
            <a:ext uri="{FF2B5EF4-FFF2-40B4-BE49-F238E27FC236}">
              <a16:creationId xmlns:a16="http://schemas.microsoft.com/office/drawing/2014/main" id="{00000000-0008-0000-0100-0000D4CA0000}"/>
            </a:ext>
          </a:extLst>
        </xdr:cNvPr>
        <xdr:cNvSpPr>
          <a:spLocks noChangeShapeType="1"/>
        </xdr:cNvSpPr>
      </xdr:nvSpPr>
      <xdr:spPr bwMode="auto">
        <a:xfrm>
          <a:off x="34166175" y="26041350"/>
          <a:ext cx="371475" cy="438150"/>
        </a:xfrm>
        <a:prstGeom prst="line">
          <a:avLst/>
        </a:prstGeom>
        <a:noFill/>
        <a:ln w="28575">
          <a:solidFill>
            <a:srgbClr val="808080"/>
          </a:solidFill>
          <a:round/>
          <a:headEnd/>
          <a:tailEnd/>
        </a:ln>
      </xdr:spPr>
    </xdr:sp>
    <xdr:clientData/>
  </xdr:twoCellAnchor>
  <xdr:twoCellAnchor>
    <xdr:from>
      <xdr:col>29</xdr:col>
      <xdr:colOff>38100</xdr:colOff>
      <xdr:row>54</xdr:row>
      <xdr:rowOff>419100</xdr:rowOff>
    </xdr:from>
    <xdr:to>
      <xdr:col>31</xdr:col>
      <xdr:colOff>390525</xdr:colOff>
      <xdr:row>56</xdr:row>
      <xdr:rowOff>238125</xdr:rowOff>
    </xdr:to>
    <xdr:sp macro="" textlink="">
      <xdr:nvSpPr>
        <xdr:cNvPr id="51925" name="Line 529">
          <a:extLst>
            <a:ext uri="{FF2B5EF4-FFF2-40B4-BE49-F238E27FC236}">
              <a16:creationId xmlns:a16="http://schemas.microsoft.com/office/drawing/2014/main" id="{00000000-0008-0000-0100-0000D5CA0000}"/>
            </a:ext>
          </a:extLst>
        </xdr:cNvPr>
        <xdr:cNvSpPr>
          <a:spLocks noChangeShapeType="1"/>
        </xdr:cNvSpPr>
      </xdr:nvSpPr>
      <xdr:spPr bwMode="auto">
        <a:xfrm>
          <a:off x="32642175" y="26079450"/>
          <a:ext cx="1876425" cy="466725"/>
        </a:xfrm>
        <a:prstGeom prst="line">
          <a:avLst/>
        </a:prstGeom>
        <a:noFill/>
        <a:ln w="28575">
          <a:solidFill>
            <a:srgbClr val="808080"/>
          </a:solidFill>
          <a:round/>
          <a:headEnd/>
          <a:tailEnd/>
        </a:ln>
      </xdr:spPr>
    </xdr:sp>
    <xdr:clientData/>
  </xdr:twoCellAnchor>
  <xdr:twoCellAnchor>
    <xdr:from>
      <xdr:col>30</xdr:col>
      <xdr:colOff>504825</xdr:colOff>
      <xdr:row>41</xdr:row>
      <xdr:rowOff>152400</xdr:rowOff>
    </xdr:from>
    <xdr:to>
      <xdr:col>31</xdr:col>
      <xdr:colOff>628650</xdr:colOff>
      <xdr:row>44</xdr:row>
      <xdr:rowOff>85725</xdr:rowOff>
    </xdr:to>
    <xdr:sp macro="" textlink="">
      <xdr:nvSpPr>
        <xdr:cNvPr id="51730" name="AutoShape 530">
          <a:extLst>
            <a:ext uri="{FF2B5EF4-FFF2-40B4-BE49-F238E27FC236}">
              <a16:creationId xmlns:a16="http://schemas.microsoft.com/office/drawing/2014/main" id="{00000000-0008-0000-0100-000012CA0000}"/>
            </a:ext>
          </a:extLst>
        </xdr:cNvPr>
        <xdr:cNvSpPr>
          <a:spLocks noChangeArrowheads="1"/>
        </xdr:cNvSpPr>
      </xdr:nvSpPr>
      <xdr:spPr bwMode="auto">
        <a:xfrm>
          <a:off x="33118425" y="21536025"/>
          <a:ext cx="885825" cy="476250"/>
        </a:xfrm>
        <a:prstGeom prst="flowChartDocument">
          <a:avLst/>
        </a:prstGeom>
        <a:solidFill>
          <a:srgbClr val="CCFFFF"/>
        </a:solidFill>
        <a:ln w="28575" algn="ctr">
          <a:solidFill>
            <a:srgbClr val="808080"/>
          </a:solidFill>
          <a:miter lim="800000"/>
          <a:headEnd/>
          <a:tailEnd/>
        </a:ln>
        <a:effectLst/>
      </xdr:spPr>
      <xdr:txBody>
        <a:bodyPr vertOverflow="clip" wrap="square" lIns="18288" tIns="18288" rIns="18288" bIns="0" anchor="t" upright="1"/>
        <a:lstStyle/>
        <a:p>
          <a:pPr algn="ctr" rtl="0">
            <a:defRPr sz="1000"/>
          </a:pPr>
          <a:r>
            <a:rPr lang="en-GB" sz="1000" b="0" i="0" u="none" strike="noStrike" baseline="0">
              <a:solidFill>
                <a:srgbClr val="000000"/>
              </a:solidFill>
              <a:latin typeface="Arial"/>
              <a:cs typeface="Arial"/>
            </a:rPr>
            <a:t>Statistics</a:t>
          </a:r>
        </a:p>
        <a:p>
          <a:pPr algn="ctr" rtl="0">
            <a:defRPr sz="1000"/>
          </a:pPr>
          <a:r>
            <a:rPr lang="en-GB" sz="1000" b="0" i="0" u="none" strike="noStrike" baseline="0">
              <a:solidFill>
                <a:srgbClr val="000000"/>
              </a:solidFill>
              <a:latin typeface="Arial"/>
              <a:cs typeface="Arial"/>
            </a:rPr>
            <a:t>(D3+D7)</a:t>
          </a:r>
          <a:endParaRPr lang="en-GB"/>
        </a:p>
      </xdr:txBody>
    </xdr:sp>
    <xdr:clientData/>
  </xdr:twoCellAnchor>
  <xdr:twoCellAnchor>
    <xdr:from>
      <xdr:col>30</xdr:col>
      <xdr:colOff>57150</xdr:colOff>
      <xdr:row>43</xdr:row>
      <xdr:rowOff>19050</xdr:rowOff>
    </xdr:from>
    <xdr:to>
      <xdr:col>30</xdr:col>
      <xdr:colOff>514350</xdr:colOff>
      <xdr:row>43</xdr:row>
      <xdr:rowOff>19050</xdr:rowOff>
    </xdr:to>
    <xdr:sp macro="" textlink="">
      <xdr:nvSpPr>
        <xdr:cNvPr id="51927" name="Line 531">
          <a:extLst>
            <a:ext uri="{FF2B5EF4-FFF2-40B4-BE49-F238E27FC236}">
              <a16:creationId xmlns:a16="http://schemas.microsoft.com/office/drawing/2014/main" id="{00000000-0008-0000-0100-0000D7CA0000}"/>
            </a:ext>
          </a:extLst>
        </xdr:cNvPr>
        <xdr:cNvSpPr>
          <a:spLocks noChangeShapeType="1"/>
        </xdr:cNvSpPr>
      </xdr:nvSpPr>
      <xdr:spPr bwMode="auto">
        <a:xfrm>
          <a:off x="33423225" y="23145750"/>
          <a:ext cx="457200" cy="0"/>
        </a:xfrm>
        <a:prstGeom prst="line">
          <a:avLst/>
        </a:prstGeom>
        <a:noFill/>
        <a:ln w="28575">
          <a:solidFill>
            <a:srgbClr val="808080"/>
          </a:solidFill>
          <a:round/>
          <a:headEnd/>
          <a:tailEnd/>
        </a:ln>
      </xdr:spPr>
    </xdr:sp>
    <xdr:clientData/>
  </xdr:twoCellAnchor>
  <xdr:twoCellAnchor>
    <xdr:from>
      <xdr:col>30</xdr:col>
      <xdr:colOff>495300</xdr:colOff>
      <xdr:row>61</xdr:row>
      <xdr:rowOff>57150</xdr:rowOff>
    </xdr:from>
    <xdr:to>
      <xdr:col>31</xdr:col>
      <xdr:colOff>619125</xdr:colOff>
      <xdr:row>64</xdr:row>
      <xdr:rowOff>0</xdr:rowOff>
    </xdr:to>
    <xdr:sp macro="" textlink="">
      <xdr:nvSpPr>
        <xdr:cNvPr id="51732" name="AutoShape 532">
          <a:extLst>
            <a:ext uri="{FF2B5EF4-FFF2-40B4-BE49-F238E27FC236}">
              <a16:creationId xmlns:a16="http://schemas.microsoft.com/office/drawing/2014/main" id="{00000000-0008-0000-0100-000014CA0000}"/>
            </a:ext>
          </a:extLst>
        </xdr:cNvPr>
        <xdr:cNvSpPr>
          <a:spLocks noChangeArrowheads="1"/>
        </xdr:cNvSpPr>
      </xdr:nvSpPr>
      <xdr:spPr bwMode="auto">
        <a:xfrm>
          <a:off x="33108900" y="25841325"/>
          <a:ext cx="885825" cy="476250"/>
        </a:xfrm>
        <a:prstGeom prst="flowChartDocument">
          <a:avLst/>
        </a:prstGeom>
        <a:solidFill>
          <a:srgbClr val="CCFFFF"/>
        </a:solidFill>
        <a:ln w="28575" algn="ctr">
          <a:solidFill>
            <a:srgbClr val="808080"/>
          </a:solidFill>
          <a:miter lim="800000"/>
          <a:headEnd/>
          <a:tailEnd/>
        </a:ln>
        <a:effectLst/>
      </xdr:spPr>
      <xdr:txBody>
        <a:bodyPr vertOverflow="clip" wrap="square" lIns="18288" tIns="18288" rIns="18288" bIns="0" anchor="t" upright="1"/>
        <a:lstStyle/>
        <a:p>
          <a:pPr algn="ctr" rtl="0">
            <a:defRPr sz="1000"/>
          </a:pPr>
          <a:r>
            <a:rPr lang="en-GB" sz="1000" b="0" i="0" u="none" strike="noStrike" baseline="0">
              <a:solidFill>
                <a:srgbClr val="000000"/>
              </a:solidFill>
              <a:latin typeface="Arial"/>
              <a:cs typeface="Arial"/>
            </a:rPr>
            <a:t>Statistics</a:t>
          </a:r>
        </a:p>
        <a:p>
          <a:pPr algn="ctr" rtl="0">
            <a:defRPr sz="1000"/>
          </a:pPr>
          <a:r>
            <a:rPr lang="en-GB" sz="1000" b="0" i="0" u="none" strike="noStrike" baseline="0">
              <a:solidFill>
                <a:srgbClr val="000000"/>
              </a:solidFill>
              <a:latin typeface="Arial"/>
              <a:cs typeface="Arial"/>
            </a:rPr>
            <a:t>(D3+D7)</a:t>
          </a:r>
          <a:endParaRPr lang="en-GB"/>
        </a:p>
      </xdr:txBody>
    </xdr:sp>
    <xdr:clientData/>
  </xdr:twoCellAnchor>
  <xdr:twoCellAnchor>
    <xdr:from>
      <xdr:col>30</xdr:col>
      <xdr:colOff>47625</xdr:colOff>
      <xdr:row>62</xdr:row>
      <xdr:rowOff>57150</xdr:rowOff>
    </xdr:from>
    <xdr:to>
      <xdr:col>30</xdr:col>
      <xdr:colOff>504825</xdr:colOff>
      <xdr:row>62</xdr:row>
      <xdr:rowOff>57150</xdr:rowOff>
    </xdr:to>
    <xdr:sp macro="" textlink="">
      <xdr:nvSpPr>
        <xdr:cNvPr id="51929" name="Line 533">
          <a:extLst>
            <a:ext uri="{FF2B5EF4-FFF2-40B4-BE49-F238E27FC236}">
              <a16:creationId xmlns:a16="http://schemas.microsoft.com/office/drawing/2014/main" id="{00000000-0008-0000-0100-0000D9CA0000}"/>
            </a:ext>
          </a:extLst>
        </xdr:cNvPr>
        <xdr:cNvSpPr>
          <a:spLocks noChangeShapeType="1"/>
        </xdr:cNvSpPr>
      </xdr:nvSpPr>
      <xdr:spPr bwMode="auto">
        <a:xfrm>
          <a:off x="33413700" y="27622500"/>
          <a:ext cx="457200" cy="0"/>
        </a:xfrm>
        <a:prstGeom prst="line">
          <a:avLst/>
        </a:prstGeom>
        <a:noFill/>
        <a:ln w="28575">
          <a:solidFill>
            <a:srgbClr val="808080"/>
          </a:solidFill>
          <a:round/>
          <a:headEnd/>
          <a:tailEnd/>
        </a:ln>
      </xdr:spPr>
    </xdr:sp>
    <xdr:clientData/>
  </xdr:twoCellAnchor>
  <xdr:twoCellAnchor>
    <xdr:from>
      <xdr:col>7</xdr:col>
      <xdr:colOff>1609725</xdr:colOff>
      <xdr:row>13</xdr:row>
      <xdr:rowOff>609600</xdr:rowOff>
    </xdr:from>
    <xdr:to>
      <xdr:col>7</xdr:col>
      <xdr:colOff>1533525</xdr:colOff>
      <xdr:row>13</xdr:row>
      <xdr:rowOff>647700</xdr:rowOff>
    </xdr:to>
    <xdr:sp macro="" textlink="">
      <xdr:nvSpPr>
        <xdr:cNvPr id="51734" name="Text Box 534">
          <a:extLst>
            <a:ext uri="{FF2B5EF4-FFF2-40B4-BE49-F238E27FC236}">
              <a16:creationId xmlns:a16="http://schemas.microsoft.com/office/drawing/2014/main" id="{00000000-0008-0000-0100-000016CA0000}"/>
            </a:ext>
          </a:extLst>
        </xdr:cNvPr>
        <xdr:cNvSpPr txBox="1">
          <a:spLocks noChangeArrowheads="1"/>
        </xdr:cNvSpPr>
      </xdr:nvSpPr>
      <xdr:spPr bwMode="auto">
        <a:xfrm>
          <a:off x="8953500" y="836295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7</xdr:col>
      <xdr:colOff>1524000</xdr:colOff>
      <xdr:row>12</xdr:row>
      <xdr:rowOff>676275</xdr:rowOff>
    </xdr:from>
    <xdr:to>
      <xdr:col>7</xdr:col>
      <xdr:colOff>2419350</xdr:colOff>
      <xdr:row>13</xdr:row>
      <xdr:rowOff>19050</xdr:rowOff>
    </xdr:to>
    <xdr:sp macro="" textlink="">
      <xdr:nvSpPr>
        <xdr:cNvPr id="51735" name="Text Box 535">
          <a:extLst>
            <a:ext uri="{FF2B5EF4-FFF2-40B4-BE49-F238E27FC236}">
              <a16:creationId xmlns:a16="http://schemas.microsoft.com/office/drawing/2014/main" id="{00000000-0008-0000-0100-000017CA0000}"/>
            </a:ext>
          </a:extLst>
        </xdr:cNvPr>
        <xdr:cNvSpPr txBox="1">
          <a:spLocks noChangeArrowheads="1"/>
        </xdr:cNvSpPr>
      </xdr:nvSpPr>
      <xdr:spPr bwMode="auto">
        <a:xfrm>
          <a:off x="8867775" y="7734300"/>
          <a:ext cx="352425"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8</xdr:col>
      <xdr:colOff>1609725</xdr:colOff>
      <xdr:row>13</xdr:row>
      <xdr:rowOff>609600</xdr:rowOff>
    </xdr:from>
    <xdr:to>
      <xdr:col>8</xdr:col>
      <xdr:colOff>1295400</xdr:colOff>
      <xdr:row>13</xdr:row>
      <xdr:rowOff>647700</xdr:rowOff>
    </xdr:to>
    <xdr:sp macro="" textlink="">
      <xdr:nvSpPr>
        <xdr:cNvPr id="51737" name="Text Box 537">
          <a:extLst>
            <a:ext uri="{FF2B5EF4-FFF2-40B4-BE49-F238E27FC236}">
              <a16:creationId xmlns:a16="http://schemas.microsoft.com/office/drawing/2014/main" id="{00000000-0008-0000-0100-000019CA0000}"/>
            </a:ext>
          </a:extLst>
        </xdr:cNvPr>
        <xdr:cNvSpPr txBox="1">
          <a:spLocks noChangeArrowheads="1"/>
        </xdr:cNvSpPr>
      </xdr:nvSpPr>
      <xdr:spPr bwMode="auto">
        <a:xfrm>
          <a:off x="10706100" y="836295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8</xdr:col>
      <xdr:colOff>1524000</xdr:colOff>
      <xdr:row>12</xdr:row>
      <xdr:rowOff>676275</xdr:rowOff>
    </xdr:from>
    <xdr:to>
      <xdr:col>8</xdr:col>
      <xdr:colOff>2419350</xdr:colOff>
      <xdr:row>13</xdr:row>
      <xdr:rowOff>19050</xdr:rowOff>
    </xdr:to>
    <xdr:sp macro="" textlink="">
      <xdr:nvSpPr>
        <xdr:cNvPr id="51738" name="Text Box 538">
          <a:extLst>
            <a:ext uri="{FF2B5EF4-FFF2-40B4-BE49-F238E27FC236}">
              <a16:creationId xmlns:a16="http://schemas.microsoft.com/office/drawing/2014/main" id="{00000000-0008-0000-0100-00001ACA0000}"/>
            </a:ext>
          </a:extLst>
        </xdr:cNvPr>
        <xdr:cNvSpPr txBox="1">
          <a:spLocks noChangeArrowheads="1"/>
        </xdr:cNvSpPr>
      </xdr:nvSpPr>
      <xdr:spPr bwMode="auto">
        <a:xfrm>
          <a:off x="10706100" y="773430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9</xdr:col>
      <xdr:colOff>1609725</xdr:colOff>
      <xdr:row>13</xdr:row>
      <xdr:rowOff>609600</xdr:rowOff>
    </xdr:from>
    <xdr:to>
      <xdr:col>9</xdr:col>
      <xdr:colOff>1257300</xdr:colOff>
      <xdr:row>13</xdr:row>
      <xdr:rowOff>647700</xdr:rowOff>
    </xdr:to>
    <xdr:sp macro="" textlink="">
      <xdr:nvSpPr>
        <xdr:cNvPr id="51740" name="Text Box 540">
          <a:extLst>
            <a:ext uri="{FF2B5EF4-FFF2-40B4-BE49-F238E27FC236}">
              <a16:creationId xmlns:a16="http://schemas.microsoft.com/office/drawing/2014/main" id="{00000000-0008-0000-0100-00001CCA0000}"/>
            </a:ext>
          </a:extLst>
        </xdr:cNvPr>
        <xdr:cNvSpPr txBox="1">
          <a:spLocks noChangeArrowheads="1"/>
        </xdr:cNvSpPr>
      </xdr:nvSpPr>
      <xdr:spPr bwMode="auto">
        <a:xfrm>
          <a:off x="11963400" y="836295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9</xdr:col>
      <xdr:colOff>1524000</xdr:colOff>
      <xdr:row>12</xdr:row>
      <xdr:rowOff>676275</xdr:rowOff>
    </xdr:from>
    <xdr:to>
      <xdr:col>9</xdr:col>
      <xdr:colOff>2419350</xdr:colOff>
      <xdr:row>13</xdr:row>
      <xdr:rowOff>19050</xdr:rowOff>
    </xdr:to>
    <xdr:sp macro="" textlink="">
      <xdr:nvSpPr>
        <xdr:cNvPr id="51741" name="Text Box 541">
          <a:extLst>
            <a:ext uri="{FF2B5EF4-FFF2-40B4-BE49-F238E27FC236}">
              <a16:creationId xmlns:a16="http://schemas.microsoft.com/office/drawing/2014/main" id="{00000000-0008-0000-0100-00001DCA0000}"/>
            </a:ext>
          </a:extLst>
        </xdr:cNvPr>
        <xdr:cNvSpPr txBox="1">
          <a:spLocks noChangeArrowheads="1"/>
        </xdr:cNvSpPr>
      </xdr:nvSpPr>
      <xdr:spPr bwMode="auto">
        <a:xfrm>
          <a:off x="11963400" y="7734300"/>
          <a:ext cx="0" cy="38100"/>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Spanish</a:t>
          </a:r>
          <a:endParaRPr lang="en-GB"/>
        </a:p>
      </xdr:txBody>
    </xdr:sp>
    <xdr:clientData/>
  </xdr:twoCellAnchor>
  <xdr:twoCellAnchor>
    <xdr:from>
      <xdr:col>2</xdr:col>
      <xdr:colOff>129021</xdr:colOff>
      <xdr:row>1</xdr:row>
      <xdr:rowOff>31173</xdr:rowOff>
    </xdr:from>
    <xdr:to>
      <xdr:col>6</xdr:col>
      <xdr:colOff>14721</xdr:colOff>
      <xdr:row>1</xdr:row>
      <xdr:rowOff>381000</xdr:rowOff>
    </xdr:to>
    <xdr:sp macro="" textlink="">
      <xdr:nvSpPr>
        <xdr:cNvPr id="51743" name="Text Box 543">
          <a:extLst>
            <a:ext uri="{FF2B5EF4-FFF2-40B4-BE49-F238E27FC236}">
              <a16:creationId xmlns:a16="http://schemas.microsoft.com/office/drawing/2014/main" id="{00000000-0008-0000-0100-00001FCA0000}"/>
            </a:ext>
          </a:extLst>
        </xdr:cNvPr>
        <xdr:cNvSpPr txBox="1">
          <a:spLocks noChangeArrowheads="1"/>
        </xdr:cNvSpPr>
      </xdr:nvSpPr>
      <xdr:spPr bwMode="auto">
        <a:xfrm>
          <a:off x="700521" y="845128"/>
          <a:ext cx="5375564" cy="349827"/>
        </a:xfrm>
        <a:prstGeom prst="rect">
          <a:avLst/>
        </a:prstGeom>
        <a:noFill/>
        <a:ln>
          <a:noFill/>
        </a:ln>
        <a:effectLst/>
      </xdr:spPr>
      <xdr:txBody>
        <a:bodyPr vertOverflow="clip" wrap="square" lIns="27432" tIns="22860" rIns="0" bIns="0" anchor="t" upright="1"/>
        <a:lstStyle/>
        <a:p>
          <a:pPr algn="l" rtl="0">
            <a:defRPr sz="1000"/>
          </a:pPr>
          <a:r>
            <a:rPr lang="en-GB" sz="1000" b="0" i="0" u="none" strike="noStrike" baseline="0">
              <a:solidFill>
                <a:srgbClr val="3366FF"/>
              </a:solidFill>
              <a:latin typeface="Arial"/>
              <a:cs typeface="Arial"/>
            </a:rPr>
            <a:t>Attention: All blue markings are reserved for SQA evaluation!</a:t>
          </a:r>
          <a:endParaRPr lang="en-GB"/>
        </a:p>
      </xdr:txBody>
    </xdr:sp>
    <xdr:clientData/>
  </xdr:twoCellAnchor>
  <xdr:twoCellAnchor>
    <xdr:from>
      <xdr:col>6</xdr:col>
      <xdr:colOff>1092951</xdr:colOff>
      <xdr:row>0</xdr:row>
      <xdr:rowOff>848591</xdr:rowOff>
    </xdr:from>
    <xdr:to>
      <xdr:col>7</xdr:col>
      <xdr:colOff>259772</xdr:colOff>
      <xdr:row>0</xdr:row>
      <xdr:rowOff>1071127</xdr:rowOff>
    </xdr:to>
    <xdr:sp macro="" textlink="">
      <xdr:nvSpPr>
        <xdr:cNvPr id="51751" name="Text Box 551">
          <a:extLst>
            <a:ext uri="{FF2B5EF4-FFF2-40B4-BE49-F238E27FC236}">
              <a16:creationId xmlns:a16="http://schemas.microsoft.com/office/drawing/2014/main" id="{00000000-0008-0000-0100-000027CA0000}"/>
            </a:ext>
          </a:extLst>
        </xdr:cNvPr>
        <xdr:cNvSpPr txBox="1">
          <a:spLocks noChangeArrowheads="1"/>
        </xdr:cNvSpPr>
      </xdr:nvSpPr>
      <xdr:spPr bwMode="auto">
        <a:xfrm>
          <a:off x="7154315" y="848591"/>
          <a:ext cx="708139" cy="222536"/>
        </a:xfrm>
        <a:prstGeom prst="rect">
          <a:avLst/>
        </a:prstGeom>
        <a:noFill/>
        <a:ln>
          <a:noFill/>
        </a:ln>
        <a:effectLst/>
      </xdr:spPr>
      <xdr:txBody>
        <a:bodyPr vertOverflow="clip" wrap="square" lIns="27432" tIns="18288" rIns="0" bIns="0" anchor="t" upright="1"/>
        <a:lstStyle/>
        <a:p>
          <a:pPr algn="l" rtl="0">
            <a:defRPr sz="1000"/>
          </a:pPr>
          <a:r>
            <a:rPr lang="en-GB" sz="1200" b="0" i="0" u="none" strike="noStrike" baseline="0">
              <a:solidFill>
                <a:srgbClr val="000000"/>
              </a:solidFill>
              <a:latin typeface="Arial"/>
              <a:cs typeface="Arial"/>
            </a:rPr>
            <a:t>Русский</a:t>
          </a:r>
          <a:endParaRPr lang="en-GB"/>
        </a:p>
      </xdr:txBody>
    </xdr:sp>
    <xdr:clientData/>
  </xdr:twoCellAnchor>
  <xdr:twoCellAnchor>
    <xdr:from>
      <xdr:col>7</xdr:col>
      <xdr:colOff>812593</xdr:colOff>
      <xdr:row>0</xdr:row>
      <xdr:rowOff>859844</xdr:rowOff>
    </xdr:from>
    <xdr:to>
      <xdr:col>8</xdr:col>
      <xdr:colOff>2968</xdr:colOff>
      <xdr:row>0</xdr:row>
      <xdr:rowOff>1097969</xdr:rowOff>
    </xdr:to>
    <xdr:sp macro="" textlink="">
      <xdr:nvSpPr>
        <xdr:cNvPr id="106" name="Text Box 241">
          <a:extLst>
            <a:ext uri="{FF2B5EF4-FFF2-40B4-BE49-F238E27FC236}">
              <a16:creationId xmlns:a16="http://schemas.microsoft.com/office/drawing/2014/main" id="{00000000-0008-0000-0100-00006A000000}"/>
            </a:ext>
          </a:extLst>
        </xdr:cNvPr>
        <xdr:cNvSpPr txBox="1">
          <a:spLocks noChangeArrowheads="1"/>
        </xdr:cNvSpPr>
      </xdr:nvSpPr>
      <xdr:spPr bwMode="auto">
        <a:xfrm>
          <a:off x="8418986" y="859844"/>
          <a:ext cx="809625" cy="238125"/>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Portugues</a:t>
          </a:r>
          <a:endParaRPr lang="en-GB"/>
        </a:p>
      </xdr:txBody>
    </xdr:sp>
    <xdr:clientData/>
  </xdr:twoCellAnchor>
  <xdr:twoCellAnchor>
    <xdr:from>
      <xdr:col>8</xdr:col>
      <xdr:colOff>369265</xdr:colOff>
      <xdr:row>0</xdr:row>
      <xdr:rowOff>848588</xdr:rowOff>
    </xdr:from>
    <xdr:to>
      <xdr:col>8</xdr:col>
      <xdr:colOff>1102690</xdr:colOff>
      <xdr:row>0</xdr:row>
      <xdr:rowOff>1078920</xdr:rowOff>
    </xdr:to>
    <xdr:sp macro="" textlink="">
      <xdr:nvSpPr>
        <xdr:cNvPr id="107" name="Text Box 241">
          <a:extLst>
            <a:ext uri="{FF2B5EF4-FFF2-40B4-BE49-F238E27FC236}">
              <a16:creationId xmlns:a16="http://schemas.microsoft.com/office/drawing/2014/main" id="{00000000-0008-0000-0100-00006B000000}"/>
            </a:ext>
          </a:extLst>
        </xdr:cNvPr>
        <xdr:cNvSpPr txBox="1">
          <a:spLocks noChangeArrowheads="1"/>
        </xdr:cNvSpPr>
      </xdr:nvSpPr>
      <xdr:spPr bwMode="auto">
        <a:xfrm>
          <a:off x="9594908" y="848588"/>
          <a:ext cx="733425" cy="230332"/>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Chinese</a:t>
          </a:r>
          <a:endParaRPr lang="en-GB"/>
        </a:p>
      </xdr:txBody>
    </xdr:sp>
    <xdr:clientData/>
  </xdr:twoCellAnchor>
  <xdr:twoCellAnchor>
    <xdr:from>
      <xdr:col>9</xdr:col>
      <xdr:colOff>151714</xdr:colOff>
      <xdr:row>0</xdr:row>
      <xdr:rowOff>848588</xdr:rowOff>
    </xdr:from>
    <xdr:to>
      <xdr:col>9</xdr:col>
      <xdr:colOff>802011</xdr:colOff>
      <xdr:row>0</xdr:row>
      <xdr:rowOff>1075455</xdr:rowOff>
    </xdr:to>
    <xdr:sp macro="" textlink="">
      <xdr:nvSpPr>
        <xdr:cNvPr id="108" name="Text Box 241">
          <a:extLst>
            <a:ext uri="{FF2B5EF4-FFF2-40B4-BE49-F238E27FC236}">
              <a16:creationId xmlns:a16="http://schemas.microsoft.com/office/drawing/2014/main" id="{00000000-0008-0000-0100-00006C000000}"/>
            </a:ext>
          </a:extLst>
        </xdr:cNvPr>
        <xdr:cNvSpPr txBox="1">
          <a:spLocks noChangeArrowheads="1"/>
        </xdr:cNvSpPr>
      </xdr:nvSpPr>
      <xdr:spPr bwMode="auto">
        <a:xfrm>
          <a:off x="10852559" y="848588"/>
          <a:ext cx="650297" cy="226867"/>
        </a:xfrm>
        <a:prstGeom prst="rect">
          <a:avLst/>
        </a:prstGeom>
        <a:noFill/>
        <a:ln>
          <a:noFill/>
        </a:ln>
        <a:effectLst/>
      </xdr:spPr>
      <xdr:txBody>
        <a:bodyPr vertOverflow="clip" wrap="square" lIns="36576" tIns="22860" rIns="0" bIns="0" anchor="t" upright="1"/>
        <a:lstStyle/>
        <a:p>
          <a:pPr algn="l" rtl="0">
            <a:defRPr sz="1000"/>
          </a:pPr>
          <a:r>
            <a:rPr lang="en-GB" sz="1200" b="0" i="0" u="none" strike="noStrike" baseline="0">
              <a:solidFill>
                <a:srgbClr val="000000"/>
              </a:solidFill>
              <a:latin typeface="Arial"/>
              <a:cs typeface="Arial"/>
            </a:rPr>
            <a:t>Korean</a:t>
          </a:r>
          <a:endParaRPr lang="en-GB"/>
        </a:p>
      </xdr:txBody>
    </xdr:sp>
    <xdr:clientData/>
  </xdr:twoCellAnchor>
  <xdr:twoCellAnchor>
    <xdr:from>
      <xdr:col>1</xdr:col>
      <xdr:colOff>228600</xdr:colOff>
      <xdr:row>0</xdr:row>
      <xdr:rowOff>400050</xdr:rowOff>
    </xdr:from>
    <xdr:to>
      <xdr:col>2</xdr:col>
      <xdr:colOff>381000</xdr:colOff>
      <xdr:row>0</xdr:row>
      <xdr:rowOff>895350</xdr:rowOff>
    </xdr:to>
    <xdr:pic>
      <xdr:nvPicPr>
        <xdr:cNvPr id="51941" name="Picture 110">
          <a:extLst>
            <a:ext uri="{FF2B5EF4-FFF2-40B4-BE49-F238E27FC236}">
              <a16:creationId xmlns:a16="http://schemas.microsoft.com/office/drawing/2014/main" id="{00000000-0008-0000-0100-0000E5CA0000}"/>
            </a:ext>
          </a:extLst>
        </xdr:cNvPr>
        <xdr:cNvPicPr>
          <a:picLocks noChangeAspect="1"/>
        </xdr:cNvPicPr>
      </xdr:nvPicPr>
      <xdr:blipFill>
        <a:blip xmlns:r="http://schemas.openxmlformats.org/officeDocument/2006/relationships" r:embed="rId2" cstate="print"/>
        <a:srcRect/>
        <a:stretch>
          <a:fillRect/>
        </a:stretch>
      </xdr:blipFill>
      <xdr:spPr bwMode="auto">
        <a:xfrm>
          <a:off x="419100" y="400050"/>
          <a:ext cx="533400" cy="495300"/>
        </a:xfrm>
        <a:prstGeom prst="rect">
          <a:avLst/>
        </a:prstGeom>
        <a:noFill/>
        <a:ln w="9525">
          <a:noFill/>
          <a:miter lim="800000"/>
          <a:headEnd/>
          <a:tailEnd/>
        </a:ln>
      </xdr:spPr>
    </xdr:pic>
    <xdr:clientData/>
  </xdr:twoCellAnchor>
  <xdr:twoCellAnchor>
    <xdr:from>
      <xdr:col>2</xdr:col>
      <xdr:colOff>371475</xdr:colOff>
      <xdr:row>0</xdr:row>
      <xdr:rowOff>409575</xdr:rowOff>
    </xdr:from>
    <xdr:to>
      <xdr:col>2</xdr:col>
      <xdr:colOff>838200</xdr:colOff>
      <xdr:row>0</xdr:row>
      <xdr:rowOff>838200</xdr:rowOff>
    </xdr:to>
    <xdr:pic>
      <xdr:nvPicPr>
        <xdr:cNvPr id="51942" name="Picture 111">
          <a:extLst>
            <a:ext uri="{FF2B5EF4-FFF2-40B4-BE49-F238E27FC236}">
              <a16:creationId xmlns:a16="http://schemas.microsoft.com/office/drawing/2014/main" id="{00000000-0008-0000-0100-0000E6CA0000}"/>
            </a:ext>
          </a:extLst>
        </xdr:cNvPr>
        <xdr:cNvPicPr>
          <a:picLocks noChangeAspect="1"/>
        </xdr:cNvPicPr>
      </xdr:nvPicPr>
      <xdr:blipFill>
        <a:blip xmlns:r="http://schemas.openxmlformats.org/officeDocument/2006/relationships" r:embed="rId3" cstate="print"/>
        <a:srcRect/>
        <a:stretch>
          <a:fillRect/>
        </a:stretch>
      </xdr:blipFill>
      <xdr:spPr bwMode="auto">
        <a:xfrm>
          <a:off x="942975" y="409575"/>
          <a:ext cx="466725" cy="428625"/>
        </a:xfrm>
        <a:prstGeom prst="rect">
          <a:avLst/>
        </a:prstGeom>
        <a:noFill/>
        <a:ln w="9525">
          <a:noFill/>
          <a:miter lim="800000"/>
          <a:headEnd/>
          <a:tailEnd/>
        </a:ln>
      </xdr:spPr>
    </xdr:pic>
    <xdr:clientData/>
  </xdr:twoCellAnchor>
  <xdr:twoCellAnchor>
    <xdr:from>
      <xdr:col>2</xdr:col>
      <xdr:colOff>1533525</xdr:colOff>
      <xdr:row>0</xdr:row>
      <xdr:rowOff>390525</xdr:rowOff>
    </xdr:from>
    <xdr:to>
      <xdr:col>2</xdr:col>
      <xdr:colOff>2000250</xdr:colOff>
      <xdr:row>0</xdr:row>
      <xdr:rowOff>847725</xdr:rowOff>
    </xdr:to>
    <xdr:pic>
      <xdr:nvPicPr>
        <xdr:cNvPr id="51943" name="Picture 112">
          <a:extLst>
            <a:ext uri="{FF2B5EF4-FFF2-40B4-BE49-F238E27FC236}">
              <a16:creationId xmlns:a16="http://schemas.microsoft.com/office/drawing/2014/main" id="{00000000-0008-0000-0100-0000E7CA0000}"/>
            </a:ext>
          </a:extLst>
        </xdr:cNvPr>
        <xdr:cNvPicPr>
          <a:picLocks noChangeAspect="1"/>
        </xdr:cNvPicPr>
      </xdr:nvPicPr>
      <xdr:blipFill>
        <a:blip xmlns:r="http://schemas.openxmlformats.org/officeDocument/2006/relationships" r:embed="rId4" cstate="print"/>
        <a:srcRect/>
        <a:stretch>
          <a:fillRect/>
        </a:stretch>
      </xdr:blipFill>
      <xdr:spPr bwMode="auto">
        <a:xfrm>
          <a:off x="2105025" y="390525"/>
          <a:ext cx="466725" cy="457200"/>
        </a:xfrm>
        <a:prstGeom prst="rect">
          <a:avLst/>
        </a:prstGeom>
        <a:noFill/>
        <a:ln w="9525">
          <a:noFill/>
          <a:miter lim="800000"/>
          <a:headEnd/>
          <a:tailEnd/>
        </a:ln>
      </xdr:spPr>
    </xdr:pic>
    <xdr:clientData/>
  </xdr:twoCellAnchor>
  <xdr:twoCellAnchor>
    <xdr:from>
      <xdr:col>3</xdr:col>
      <xdr:colOff>504825</xdr:colOff>
      <xdr:row>0</xdr:row>
      <xdr:rowOff>361950</xdr:rowOff>
    </xdr:from>
    <xdr:to>
      <xdr:col>3</xdr:col>
      <xdr:colOff>990600</xdr:colOff>
      <xdr:row>0</xdr:row>
      <xdr:rowOff>904875</xdr:rowOff>
    </xdr:to>
    <xdr:pic>
      <xdr:nvPicPr>
        <xdr:cNvPr id="51944" name="Picture 113">
          <a:extLst>
            <a:ext uri="{FF2B5EF4-FFF2-40B4-BE49-F238E27FC236}">
              <a16:creationId xmlns:a16="http://schemas.microsoft.com/office/drawing/2014/main" id="{00000000-0008-0000-0100-0000E8CA0000}"/>
            </a:ext>
          </a:extLst>
        </xdr:cNvPr>
        <xdr:cNvPicPr>
          <a:picLocks noChangeAspect="1"/>
        </xdr:cNvPicPr>
      </xdr:nvPicPr>
      <xdr:blipFill>
        <a:blip xmlns:r="http://schemas.openxmlformats.org/officeDocument/2006/relationships" r:embed="rId5" cstate="print"/>
        <a:srcRect/>
        <a:stretch>
          <a:fillRect/>
        </a:stretch>
      </xdr:blipFill>
      <xdr:spPr bwMode="auto">
        <a:xfrm>
          <a:off x="3267075" y="361950"/>
          <a:ext cx="485775" cy="542925"/>
        </a:xfrm>
        <a:prstGeom prst="rect">
          <a:avLst/>
        </a:prstGeom>
        <a:noFill/>
        <a:ln w="9525">
          <a:noFill/>
          <a:miter lim="800000"/>
          <a:headEnd/>
          <a:tailEnd/>
        </a:ln>
      </xdr:spPr>
    </xdr:pic>
    <xdr:clientData/>
  </xdr:twoCellAnchor>
  <xdr:twoCellAnchor>
    <xdr:from>
      <xdr:col>5</xdr:col>
      <xdr:colOff>123825</xdr:colOff>
      <xdr:row>0</xdr:row>
      <xdr:rowOff>409575</xdr:rowOff>
    </xdr:from>
    <xdr:to>
      <xdr:col>5</xdr:col>
      <xdr:colOff>533400</xdr:colOff>
      <xdr:row>0</xdr:row>
      <xdr:rowOff>828675</xdr:rowOff>
    </xdr:to>
    <xdr:pic>
      <xdr:nvPicPr>
        <xdr:cNvPr id="51945" name="Picture 114">
          <a:extLst>
            <a:ext uri="{FF2B5EF4-FFF2-40B4-BE49-F238E27FC236}">
              <a16:creationId xmlns:a16="http://schemas.microsoft.com/office/drawing/2014/main" id="{00000000-0008-0000-0100-0000E9CA0000}"/>
            </a:ext>
          </a:extLst>
        </xdr:cNvPr>
        <xdr:cNvPicPr>
          <a:picLocks noChangeAspect="1"/>
        </xdr:cNvPicPr>
      </xdr:nvPicPr>
      <xdr:blipFill>
        <a:blip xmlns:r="http://schemas.openxmlformats.org/officeDocument/2006/relationships" r:embed="rId6" cstate="print"/>
        <a:srcRect t="5182"/>
        <a:stretch>
          <a:fillRect/>
        </a:stretch>
      </xdr:blipFill>
      <xdr:spPr bwMode="auto">
        <a:xfrm>
          <a:off x="5362575" y="409575"/>
          <a:ext cx="409575" cy="419100"/>
        </a:xfrm>
        <a:prstGeom prst="rect">
          <a:avLst/>
        </a:prstGeom>
        <a:noFill/>
        <a:ln w="9525">
          <a:noFill/>
          <a:miter lim="800000"/>
          <a:headEnd/>
          <a:tailEnd/>
        </a:ln>
      </xdr:spPr>
    </xdr:pic>
    <xdr:clientData/>
  </xdr:twoCellAnchor>
  <xdr:twoCellAnchor>
    <xdr:from>
      <xdr:col>5</xdr:col>
      <xdr:colOff>533400</xdr:colOff>
      <xdr:row>0</xdr:row>
      <xdr:rowOff>390525</xdr:rowOff>
    </xdr:from>
    <xdr:to>
      <xdr:col>6</xdr:col>
      <xdr:colOff>161925</xdr:colOff>
      <xdr:row>0</xdr:row>
      <xdr:rowOff>828675</xdr:rowOff>
    </xdr:to>
    <xdr:pic>
      <xdr:nvPicPr>
        <xdr:cNvPr id="51946" name="Picture 115">
          <a:extLst>
            <a:ext uri="{FF2B5EF4-FFF2-40B4-BE49-F238E27FC236}">
              <a16:creationId xmlns:a16="http://schemas.microsoft.com/office/drawing/2014/main" id="{00000000-0008-0000-0100-0000EACA0000}"/>
            </a:ext>
          </a:extLst>
        </xdr:cNvPr>
        <xdr:cNvPicPr>
          <a:picLocks noChangeAspect="1"/>
        </xdr:cNvPicPr>
      </xdr:nvPicPr>
      <xdr:blipFill>
        <a:blip xmlns:r="http://schemas.openxmlformats.org/officeDocument/2006/relationships" r:embed="rId7" cstate="print"/>
        <a:srcRect/>
        <a:stretch>
          <a:fillRect/>
        </a:stretch>
      </xdr:blipFill>
      <xdr:spPr bwMode="auto">
        <a:xfrm>
          <a:off x="5772150" y="390525"/>
          <a:ext cx="438150" cy="438150"/>
        </a:xfrm>
        <a:prstGeom prst="rect">
          <a:avLst/>
        </a:prstGeom>
        <a:noFill/>
        <a:ln w="9525">
          <a:noFill/>
          <a:miter lim="800000"/>
          <a:headEnd/>
          <a:tailEnd/>
        </a:ln>
      </xdr:spPr>
    </xdr:pic>
    <xdr:clientData/>
  </xdr:twoCellAnchor>
  <xdr:twoCellAnchor>
    <xdr:from>
      <xdr:col>6</xdr:col>
      <xdr:colOff>123825</xdr:colOff>
      <xdr:row>0</xdr:row>
      <xdr:rowOff>400050</xdr:rowOff>
    </xdr:from>
    <xdr:to>
      <xdr:col>6</xdr:col>
      <xdr:colOff>600075</xdr:colOff>
      <xdr:row>0</xdr:row>
      <xdr:rowOff>828675</xdr:rowOff>
    </xdr:to>
    <xdr:pic>
      <xdr:nvPicPr>
        <xdr:cNvPr id="51947" name="Picture 116">
          <a:extLst>
            <a:ext uri="{FF2B5EF4-FFF2-40B4-BE49-F238E27FC236}">
              <a16:creationId xmlns:a16="http://schemas.microsoft.com/office/drawing/2014/main" id="{00000000-0008-0000-0100-0000EBCA0000}"/>
            </a:ext>
          </a:extLst>
        </xdr:cNvPr>
        <xdr:cNvPicPr>
          <a:picLocks noChangeAspect="1"/>
        </xdr:cNvPicPr>
      </xdr:nvPicPr>
      <xdr:blipFill>
        <a:blip xmlns:r="http://schemas.openxmlformats.org/officeDocument/2006/relationships" r:embed="rId8" cstate="print"/>
        <a:srcRect/>
        <a:stretch>
          <a:fillRect/>
        </a:stretch>
      </xdr:blipFill>
      <xdr:spPr bwMode="auto">
        <a:xfrm>
          <a:off x="6172200" y="400050"/>
          <a:ext cx="476250" cy="428625"/>
        </a:xfrm>
        <a:prstGeom prst="rect">
          <a:avLst/>
        </a:prstGeom>
        <a:noFill/>
        <a:ln w="9525">
          <a:noFill/>
          <a:miter lim="800000"/>
          <a:headEnd/>
          <a:tailEnd/>
        </a:ln>
      </xdr:spPr>
    </xdr:pic>
    <xdr:clientData/>
  </xdr:twoCellAnchor>
  <xdr:twoCellAnchor>
    <xdr:from>
      <xdr:col>4</xdr:col>
      <xdr:colOff>9525</xdr:colOff>
      <xdr:row>0</xdr:row>
      <xdr:rowOff>361950</xdr:rowOff>
    </xdr:from>
    <xdr:to>
      <xdr:col>4</xdr:col>
      <xdr:colOff>495300</xdr:colOff>
      <xdr:row>0</xdr:row>
      <xdr:rowOff>771525</xdr:rowOff>
    </xdr:to>
    <xdr:pic>
      <xdr:nvPicPr>
        <xdr:cNvPr id="51948" name="Picture 117">
          <a:extLst>
            <a:ext uri="{FF2B5EF4-FFF2-40B4-BE49-F238E27FC236}">
              <a16:creationId xmlns:a16="http://schemas.microsoft.com/office/drawing/2014/main" id="{00000000-0008-0000-0100-0000ECCA0000}"/>
            </a:ext>
          </a:extLst>
        </xdr:cNvPr>
        <xdr:cNvPicPr>
          <a:picLocks noChangeAspect="1"/>
        </xdr:cNvPicPr>
      </xdr:nvPicPr>
      <xdr:blipFill>
        <a:blip xmlns:r="http://schemas.openxmlformats.org/officeDocument/2006/relationships" r:embed="rId9" cstate="print"/>
        <a:srcRect/>
        <a:stretch>
          <a:fillRect/>
        </a:stretch>
      </xdr:blipFill>
      <xdr:spPr bwMode="auto">
        <a:xfrm>
          <a:off x="4438650" y="361950"/>
          <a:ext cx="485775" cy="409575"/>
        </a:xfrm>
        <a:prstGeom prst="rect">
          <a:avLst/>
        </a:prstGeom>
        <a:noFill/>
        <a:ln w="9525">
          <a:noFill/>
          <a:miter lim="800000"/>
          <a:headEnd/>
          <a:tailEnd/>
        </a:ln>
      </xdr:spPr>
    </xdr:pic>
    <xdr:clientData/>
  </xdr:twoCellAnchor>
  <xdr:twoCellAnchor>
    <xdr:from>
      <xdr:col>6</xdr:col>
      <xdr:colOff>1209675</xdr:colOff>
      <xdr:row>0</xdr:row>
      <xdr:rowOff>361950</xdr:rowOff>
    </xdr:from>
    <xdr:to>
      <xdr:col>7</xdr:col>
      <xdr:colOff>228600</xdr:colOff>
      <xdr:row>0</xdr:row>
      <xdr:rowOff>809625</xdr:rowOff>
    </xdr:to>
    <xdr:pic>
      <xdr:nvPicPr>
        <xdr:cNvPr id="51949" name="Picture 118">
          <a:extLst>
            <a:ext uri="{FF2B5EF4-FFF2-40B4-BE49-F238E27FC236}">
              <a16:creationId xmlns:a16="http://schemas.microsoft.com/office/drawing/2014/main" id="{00000000-0008-0000-0100-0000EDCA0000}"/>
            </a:ext>
          </a:extLst>
        </xdr:cNvPr>
        <xdr:cNvPicPr>
          <a:picLocks noChangeAspect="1"/>
        </xdr:cNvPicPr>
      </xdr:nvPicPr>
      <xdr:blipFill>
        <a:blip xmlns:r="http://schemas.openxmlformats.org/officeDocument/2006/relationships" r:embed="rId10" cstate="print"/>
        <a:srcRect/>
        <a:stretch>
          <a:fillRect/>
        </a:stretch>
      </xdr:blipFill>
      <xdr:spPr bwMode="auto">
        <a:xfrm>
          <a:off x="7258050" y="361950"/>
          <a:ext cx="561975" cy="447675"/>
        </a:xfrm>
        <a:prstGeom prst="rect">
          <a:avLst/>
        </a:prstGeom>
        <a:noFill/>
        <a:ln w="9525">
          <a:noFill/>
          <a:miter lim="800000"/>
          <a:headEnd/>
          <a:tailEnd/>
        </a:ln>
      </xdr:spPr>
    </xdr:pic>
    <xdr:clientData/>
  </xdr:twoCellAnchor>
  <xdr:twoCellAnchor>
    <xdr:from>
      <xdr:col>7</xdr:col>
      <xdr:colOff>790575</xdr:colOff>
      <xdr:row>0</xdr:row>
      <xdr:rowOff>428625</xdr:rowOff>
    </xdr:from>
    <xdr:to>
      <xdr:col>7</xdr:col>
      <xdr:colOff>1266825</xdr:colOff>
      <xdr:row>0</xdr:row>
      <xdr:rowOff>866775</xdr:rowOff>
    </xdr:to>
    <xdr:pic>
      <xdr:nvPicPr>
        <xdr:cNvPr id="51950" name="Picture 119">
          <a:extLst>
            <a:ext uri="{FF2B5EF4-FFF2-40B4-BE49-F238E27FC236}">
              <a16:creationId xmlns:a16="http://schemas.microsoft.com/office/drawing/2014/main" id="{00000000-0008-0000-0100-0000EECA0000}"/>
            </a:ext>
          </a:extLst>
        </xdr:cNvPr>
        <xdr:cNvPicPr>
          <a:picLocks noChangeAspect="1"/>
        </xdr:cNvPicPr>
      </xdr:nvPicPr>
      <xdr:blipFill>
        <a:blip xmlns:r="http://schemas.openxmlformats.org/officeDocument/2006/relationships" r:embed="rId11" cstate="print"/>
        <a:srcRect/>
        <a:stretch>
          <a:fillRect/>
        </a:stretch>
      </xdr:blipFill>
      <xdr:spPr bwMode="auto">
        <a:xfrm>
          <a:off x="8382000" y="428625"/>
          <a:ext cx="476250" cy="438150"/>
        </a:xfrm>
        <a:prstGeom prst="rect">
          <a:avLst/>
        </a:prstGeom>
        <a:noFill/>
        <a:ln w="9525">
          <a:noFill/>
          <a:miter lim="800000"/>
          <a:headEnd/>
          <a:tailEnd/>
        </a:ln>
      </xdr:spPr>
    </xdr:pic>
    <xdr:clientData/>
  </xdr:twoCellAnchor>
  <xdr:twoCellAnchor>
    <xdr:from>
      <xdr:col>7</xdr:col>
      <xdr:colOff>1276350</xdr:colOff>
      <xdr:row>0</xdr:row>
      <xdr:rowOff>419100</xdr:rowOff>
    </xdr:from>
    <xdr:to>
      <xdr:col>8</xdr:col>
      <xdr:colOff>171450</xdr:colOff>
      <xdr:row>0</xdr:row>
      <xdr:rowOff>857250</xdr:rowOff>
    </xdr:to>
    <xdr:pic>
      <xdr:nvPicPr>
        <xdr:cNvPr id="51951" name="Picture 120">
          <a:extLst>
            <a:ext uri="{FF2B5EF4-FFF2-40B4-BE49-F238E27FC236}">
              <a16:creationId xmlns:a16="http://schemas.microsoft.com/office/drawing/2014/main" id="{00000000-0008-0000-0100-0000EFCA0000}"/>
            </a:ext>
          </a:extLst>
        </xdr:cNvPr>
        <xdr:cNvPicPr>
          <a:picLocks noChangeAspect="1"/>
        </xdr:cNvPicPr>
      </xdr:nvPicPr>
      <xdr:blipFill>
        <a:blip xmlns:r="http://schemas.openxmlformats.org/officeDocument/2006/relationships" r:embed="rId12" cstate="print"/>
        <a:srcRect/>
        <a:stretch>
          <a:fillRect/>
        </a:stretch>
      </xdr:blipFill>
      <xdr:spPr bwMode="auto">
        <a:xfrm>
          <a:off x="8867775" y="419100"/>
          <a:ext cx="514350" cy="438150"/>
        </a:xfrm>
        <a:prstGeom prst="rect">
          <a:avLst/>
        </a:prstGeom>
        <a:noFill/>
        <a:ln w="9525">
          <a:noFill/>
          <a:miter lim="800000"/>
          <a:headEnd/>
          <a:tailEnd/>
        </a:ln>
      </xdr:spPr>
    </xdr:pic>
    <xdr:clientData/>
  </xdr:twoCellAnchor>
  <xdr:twoCellAnchor>
    <xdr:from>
      <xdr:col>9</xdr:col>
      <xdr:colOff>219075</xdr:colOff>
      <xdr:row>0</xdr:row>
      <xdr:rowOff>390525</xdr:rowOff>
    </xdr:from>
    <xdr:to>
      <xdr:col>9</xdr:col>
      <xdr:colOff>714375</xdr:colOff>
      <xdr:row>0</xdr:row>
      <xdr:rowOff>876300</xdr:rowOff>
    </xdr:to>
    <xdr:pic>
      <xdr:nvPicPr>
        <xdr:cNvPr id="51952" name="Picture 121">
          <a:extLst>
            <a:ext uri="{FF2B5EF4-FFF2-40B4-BE49-F238E27FC236}">
              <a16:creationId xmlns:a16="http://schemas.microsoft.com/office/drawing/2014/main" id="{00000000-0008-0000-0100-0000F0CA0000}"/>
            </a:ext>
          </a:extLst>
        </xdr:cNvPr>
        <xdr:cNvPicPr>
          <a:picLocks noChangeAspect="1"/>
        </xdr:cNvPicPr>
      </xdr:nvPicPr>
      <xdr:blipFill>
        <a:blip xmlns:r="http://schemas.openxmlformats.org/officeDocument/2006/relationships" r:embed="rId13" cstate="print"/>
        <a:srcRect/>
        <a:stretch>
          <a:fillRect/>
        </a:stretch>
      </xdr:blipFill>
      <xdr:spPr bwMode="auto">
        <a:xfrm>
          <a:off x="10915650" y="390525"/>
          <a:ext cx="495300" cy="485775"/>
        </a:xfrm>
        <a:prstGeom prst="rect">
          <a:avLst/>
        </a:prstGeom>
        <a:noFill/>
        <a:ln w="9525">
          <a:noFill/>
          <a:miter lim="800000"/>
          <a:headEnd/>
          <a:tailEnd/>
        </a:ln>
      </xdr:spPr>
    </xdr:pic>
    <xdr:clientData/>
  </xdr:twoCellAnchor>
  <xdr:twoCellAnchor>
    <xdr:from>
      <xdr:col>8</xdr:col>
      <xdr:colOff>590550</xdr:colOff>
      <xdr:row>0</xdr:row>
      <xdr:rowOff>409575</xdr:rowOff>
    </xdr:from>
    <xdr:to>
      <xdr:col>8</xdr:col>
      <xdr:colOff>1047750</xdr:colOff>
      <xdr:row>0</xdr:row>
      <xdr:rowOff>866775</xdr:rowOff>
    </xdr:to>
    <xdr:pic>
      <xdr:nvPicPr>
        <xdr:cNvPr id="51953" name="Picture 122">
          <a:extLst>
            <a:ext uri="{FF2B5EF4-FFF2-40B4-BE49-F238E27FC236}">
              <a16:creationId xmlns:a16="http://schemas.microsoft.com/office/drawing/2014/main" id="{00000000-0008-0000-0100-0000F1CA0000}"/>
            </a:ext>
          </a:extLst>
        </xdr:cNvPr>
        <xdr:cNvPicPr>
          <a:picLocks noChangeAspect="1"/>
        </xdr:cNvPicPr>
      </xdr:nvPicPr>
      <xdr:blipFill>
        <a:blip xmlns:r="http://schemas.openxmlformats.org/officeDocument/2006/relationships" r:embed="rId14" cstate="print"/>
        <a:srcRect t="5956"/>
        <a:stretch>
          <a:fillRect/>
        </a:stretch>
      </xdr:blipFill>
      <xdr:spPr bwMode="auto">
        <a:xfrm>
          <a:off x="9801225" y="409575"/>
          <a:ext cx="457200" cy="4572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7</xdr:col>
          <xdr:colOff>0</xdr:colOff>
          <xdr:row>21</xdr:row>
          <xdr:rowOff>466725</xdr:rowOff>
        </xdr:from>
        <xdr:to>
          <xdr:col>7</xdr:col>
          <xdr:colOff>895350</xdr:colOff>
          <xdr:row>21</xdr:row>
          <xdr:rowOff>704850</xdr:rowOff>
        </xdr:to>
        <xdr:sp macro="" textlink="">
          <xdr:nvSpPr>
            <xdr:cNvPr id="51264" name="Check Box 64" hidden="1">
              <a:extLst>
                <a:ext uri="{63B3BB69-23CF-44E3-9099-C40C66FF867C}">
                  <a14:compatExt spid="_x0000_s51264"/>
                </a:ext>
                <a:ext uri="{FF2B5EF4-FFF2-40B4-BE49-F238E27FC236}">
                  <a16:creationId xmlns:a16="http://schemas.microsoft.com/office/drawing/2014/main" id="{00000000-0008-0000-0100-00004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21</xdr:row>
          <xdr:rowOff>209550</xdr:rowOff>
        </xdr:from>
        <xdr:to>
          <xdr:col>7</xdr:col>
          <xdr:colOff>895350</xdr:colOff>
          <xdr:row>21</xdr:row>
          <xdr:rowOff>485775</xdr:rowOff>
        </xdr:to>
        <xdr:sp macro="" textlink="">
          <xdr:nvSpPr>
            <xdr:cNvPr id="51265" name="Check Box 65" hidden="1">
              <a:extLst>
                <a:ext uri="{63B3BB69-23CF-44E3-9099-C40C66FF867C}">
                  <a14:compatExt spid="_x0000_s51265"/>
                </a:ext>
                <a:ext uri="{FF2B5EF4-FFF2-40B4-BE49-F238E27FC236}">
                  <a16:creationId xmlns:a16="http://schemas.microsoft.com/office/drawing/2014/main" id="{00000000-0008-0000-0100-00004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276225</xdr:colOff>
          <xdr:row>12</xdr:row>
          <xdr:rowOff>123825</xdr:rowOff>
        </xdr:from>
        <xdr:to>
          <xdr:col>7</xdr:col>
          <xdr:colOff>1533525</xdr:colOff>
          <xdr:row>12</xdr:row>
          <xdr:rowOff>523875</xdr:rowOff>
        </xdr:to>
        <xdr:sp macro="" textlink="">
          <xdr:nvSpPr>
            <xdr:cNvPr id="51312" name="Check Box 112" hidden="1">
              <a:extLst>
                <a:ext uri="{63B3BB69-23CF-44E3-9099-C40C66FF867C}">
                  <a14:compatExt spid="_x0000_s51312"/>
                </a:ext>
                <a:ext uri="{FF2B5EF4-FFF2-40B4-BE49-F238E27FC236}">
                  <a16:creationId xmlns:a16="http://schemas.microsoft.com/office/drawing/2014/main" id="{00000000-0008-0000-0100-00007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152400</xdr:colOff>
          <xdr:row>12</xdr:row>
          <xdr:rowOff>123825</xdr:rowOff>
        </xdr:from>
        <xdr:to>
          <xdr:col>9</xdr:col>
          <xdr:colOff>495300</xdr:colOff>
          <xdr:row>12</xdr:row>
          <xdr:rowOff>523875</xdr:rowOff>
        </xdr:to>
        <xdr:sp macro="" textlink="">
          <xdr:nvSpPr>
            <xdr:cNvPr id="51313" name="Check Box 113" hidden="1">
              <a:extLst>
                <a:ext uri="{63B3BB69-23CF-44E3-9099-C40C66FF867C}">
                  <a14:compatExt spid="_x0000_s51313"/>
                </a:ext>
                <a:ext uri="{FF2B5EF4-FFF2-40B4-BE49-F238E27FC236}">
                  <a16:creationId xmlns:a16="http://schemas.microsoft.com/office/drawing/2014/main" id="{00000000-0008-0000-0100-00007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xdr:colOff>
          <xdr:row>21</xdr:row>
          <xdr:rowOff>171450</xdr:rowOff>
        </xdr:from>
        <xdr:to>
          <xdr:col>2</xdr:col>
          <xdr:colOff>238125</xdr:colOff>
          <xdr:row>21</xdr:row>
          <xdr:rowOff>628650</xdr:rowOff>
        </xdr:to>
        <xdr:sp macro="" textlink="">
          <xdr:nvSpPr>
            <xdr:cNvPr id="51324" name="Spinner 124" hidden="1">
              <a:extLst>
                <a:ext uri="{63B3BB69-23CF-44E3-9099-C40C66FF867C}">
                  <a14:compatExt spid="_x0000_s51324"/>
                </a:ext>
                <a:ext uri="{FF2B5EF4-FFF2-40B4-BE49-F238E27FC236}">
                  <a16:creationId xmlns:a16="http://schemas.microsoft.com/office/drawing/2014/main" id="{00000000-0008-0000-0100-00007C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314325</xdr:colOff>
          <xdr:row>1</xdr:row>
          <xdr:rowOff>228600</xdr:rowOff>
        </xdr:from>
        <xdr:to>
          <xdr:col>2</xdr:col>
          <xdr:colOff>114300</xdr:colOff>
          <xdr:row>1</xdr:row>
          <xdr:rowOff>685800</xdr:rowOff>
        </xdr:to>
        <xdr:sp macro="" textlink="">
          <xdr:nvSpPr>
            <xdr:cNvPr id="51325" name="Spinner 125" hidden="1">
              <a:extLst>
                <a:ext uri="{63B3BB69-23CF-44E3-9099-C40C66FF867C}">
                  <a14:compatExt spid="_x0000_s51325"/>
                </a:ext>
                <a:ext uri="{FF2B5EF4-FFF2-40B4-BE49-F238E27FC236}">
                  <a16:creationId xmlns:a16="http://schemas.microsoft.com/office/drawing/2014/main" id="{00000000-0008-0000-0100-00007D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16</xdr:row>
          <xdr:rowOff>142875</xdr:rowOff>
        </xdr:from>
        <xdr:to>
          <xdr:col>2</xdr:col>
          <xdr:colOff>219075</xdr:colOff>
          <xdr:row>16</xdr:row>
          <xdr:rowOff>600075</xdr:rowOff>
        </xdr:to>
        <xdr:sp macro="" textlink="">
          <xdr:nvSpPr>
            <xdr:cNvPr id="51326" name="Spinner 126" hidden="1">
              <a:extLst>
                <a:ext uri="{63B3BB69-23CF-44E3-9099-C40C66FF867C}">
                  <a14:compatExt spid="_x0000_s51326"/>
                </a:ext>
                <a:ext uri="{FF2B5EF4-FFF2-40B4-BE49-F238E27FC236}">
                  <a16:creationId xmlns:a16="http://schemas.microsoft.com/office/drawing/2014/main" id="{00000000-0008-0000-0100-00007E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16</xdr:row>
          <xdr:rowOff>152400</xdr:rowOff>
        </xdr:from>
        <xdr:to>
          <xdr:col>12</xdr:col>
          <xdr:colOff>200025</xdr:colOff>
          <xdr:row>16</xdr:row>
          <xdr:rowOff>609600</xdr:rowOff>
        </xdr:to>
        <xdr:sp macro="" textlink="">
          <xdr:nvSpPr>
            <xdr:cNvPr id="51329" name="Spinner 129" hidden="1">
              <a:extLst>
                <a:ext uri="{63B3BB69-23CF-44E3-9099-C40C66FF867C}">
                  <a14:compatExt spid="_x0000_s51329"/>
                </a:ext>
                <a:ext uri="{FF2B5EF4-FFF2-40B4-BE49-F238E27FC236}">
                  <a16:creationId xmlns:a16="http://schemas.microsoft.com/office/drawing/2014/main" id="{00000000-0008-0000-0100-000081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381000</xdr:colOff>
          <xdr:row>1</xdr:row>
          <xdr:rowOff>228600</xdr:rowOff>
        </xdr:from>
        <xdr:to>
          <xdr:col>12</xdr:col>
          <xdr:colOff>76200</xdr:colOff>
          <xdr:row>1</xdr:row>
          <xdr:rowOff>685800</xdr:rowOff>
        </xdr:to>
        <xdr:sp macro="" textlink="">
          <xdr:nvSpPr>
            <xdr:cNvPr id="51330" name="Spinner 130" hidden="1">
              <a:extLst>
                <a:ext uri="{63B3BB69-23CF-44E3-9099-C40C66FF867C}">
                  <a14:compatExt spid="_x0000_s51330"/>
                </a:ext>
                <a:ext uri="{FF2B5EF4-FFF2-40B4-BE49-F238E27FC236}">
                  <a16:creationId xmlns:a16="http://schemas.microsoft.com/office/drawing/2014/main" id="{00000000-0008-0000-0100-000082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104775</xdr:colOff>
          <xdr:row>25</xdr:row>
          <xdr:rowOff>38100</xdr:rowOff>
        </xdr:from>
        <xdr:to>
          <xdr:col>18</xdr:col>
          <xdr:colOff>304800</xdr:colOff>
          <xdr:row>25</xdr:row>
          <xdr:rowOff>495300</xdr:rowOff>
        </xdr:to>
        <xdr:sp macro="" textlink="">
          <xdr:nvSpPr>
            <xdr:cNvPr id="51331" name="Spinner 131" hidden="1">
              <a:extLst>
                <a:ext uri="{63B3BB69-23CF-44E3-9099-C40C66FF867C}">
                  <a14:compatExt spid="_x0000_s51331"/>
                </a:ext>
                <a:ext uri="{FF2B5EF4-FFF2-40B4-BE49-F238E27FC236}">
                  <a16:creationId xmlns:a16="http://schemas.microsoft.com/office/drawing/2014/main" id="{00000000-0008-0000-0100-000083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123825</xdr:colOff>
          <xdr:row>16</xdr:row>
          <xdr:rowOff>152400</xdr:rowOff>
        </xdr:from>
        <xdr:to>
          <xdr:col>18</xdr:col>
          <xdr:colOff>323850</xdr:colOff>
          <xdr:row>16</xdr:row>
          <xdr:rowOff>609600</xdr:rowOff>
        </xdr:to>
        <xdr:sp macro="" textlink="">
          <xdr:nvSpPr>
            <xdr:cNvPr id="51332" name="Spinner 132" hidden="1">
              <a:extLst>
                <a:ext uri="{63B3BB69-23CF-44E3-9099-C40C66FF867C}">
                  <a14:compatExt spid="_x0000_s51332"/>
                </a:ext>
                <a:ext uri="{FF2B5EF4-FFF2-40B4-BE49-F238E27FC236}">
                  <a16:creationId xmlns:a16="http://schemas.microsoft.com/office/drawing/2014/main" id="{00000000-0008-0000-0100-000084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66675</xdr:colOff>
          <xdr:row>1</xdr:row>
          <xdr:rowOff>190500</xdr:rowOff>
        </xdr:from>
        <xdr:to>
          <xdr:col>18</xdr:col>
          <xdr:colOff>266700</xdr:colOff>
          <xdr:row>1</xdr:row>
          <xdr:rowOff>647700</xdr:rowOff>
        </xdr:to>
        <xdr:sp macro="" textlink="">
          <xdr:nvSpPr>
            <xdr:cNvPr id="51333" name="Spinner 133" hidden="1">
              <a:extLst>
                <a:ext uri="{63B3BB69-23CF-44E3-9099-C40C66FF867C}">
                  <a14:compatExt spid="_x0000_s51333"/>
                </a:ext>
                <a:ext uri="{FF2B5EF4-FFF2-40B4-BE49-F238E27FC236}">
                  <a16:creationId xmlns:a16="http://schemas.microsoft.com/office/drawing/2014/main" id="{00000000-0008-0000-0100-000085C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24</xdr:row>
          <xdr:rowOff>85725</xdr:rowOff>
        </xdr:from>
        <xdr:to>
          <xdr:col>22</xdr:col>
          <xdr:colOff>1000125</xdr:colOff>
          <xdr:row>24</xdr:row>
          <xdr:rowOff>466725</xdr:rowOff>
        </xdr:to>
        <xdr:sp macro="" textlink="">
          <xdr:nvSpPr>
            <xdr:cNvPr id="51334" name="Check Box 134" hidden="1">
              <a:extLst>
                <a:ext uri="{63B3BB69-23CF-44E3-9099-C40C66FF867C}">
                  <a14:compatExt spid="_x0000_s51334"/>
                </a:ext>
                <a:ext uri="{FF2B5EF4-FFF2-40B4-BE49-F238E27FC236}">
                  <a16:creationId xmlns:a16="http://schemas.microsoft.com/office/drawing/2014/main" id="{00000000-0008-0000-0100-000086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209550</xdr:colOff>
          <xdr:row>16</xdr:row>
          <xdr:rowOff>0</xdr:rowOff>
        </xdr:from>
        <xdr:to>
          <xdr:col>13</xdr:col>
          <xdr:colOff>542925</xdr:colOff>
          <xdr:row>16</xdr:row>
          <xdr:rowOff>352425</xdr:rowOff>
        </xdr:to>
        <xdr:sp macro="" textlink="">
          <xdr:nvSpPr>
            <xdr:cNvPr id="51349" name="Check Box 149" hidden="1">
              <a:extLst>
                <a:ext uri="{63B3BB69-23CF-44E3-9099-C40C66FF867C}">
                  <a14:compatExt spid="_x0000_s51349"/>
                </a:ext>
                <a:ext uri="{FF2B5EF4-FFF2-40B4-BE49-F238E27FC236}">
                  <a16:creationId xmlns:a16="http://schemas.microsoft.com/office/drawing/2014/main" id="{00000000-0008-0000-0100-000095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314325</xdr:colOff>
          <xdr:row>1</xdr:row>
          <xdr:rowOff>47625</xdr:rowOff>
        </xdr:from>
        <xdr:to>
          <xdr:col>19</xdr:col>
          <xdr:colOff>1085850</xdr:colOff>
          <xdr:row>1</xdr:row>
          <xdr:rowOff>447675</xdr:rowOff>
        </xdr:to>
        <xdr:sp macro="" textlink="">
          <xdr:nvSpPr>
            <xdr:cNvPr id="51361" name="Check Box 161" hidden="1">
              <a:extLst>
                <a:ext uri="{63B3BB69-23CF-44E3-9099-C40C66FF867C}">
                  <a14:compatExt spid="_x0000_s51361"/>
                </a:ext>
                <a:ext uri="{FF2B5EF4-FFF2-40B4-BE49-F238E27FC236}">
                  <a16:creationId xmlns:a16="http://schemas.microsoft.com/office/drawing/2014/main" id="{00000000-0008-0000-0100-0000A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18</xdr:col>
          <xdr:colOff>400050</xdr:colOff>
          <xdr:row>25</xdr:row>
          <xdr:rowOff>0</xdr:rowOff>
        </xdr:from>
        <xdr:to>
          <xdr:col>19</xdr:col>
          <xdr:colOff>1228725</xdr:colOff>
          <xdr:row>25</xdr:row>
          <xdr:rowOff>390525</xdr:rowOff>
        </xdr:to>
        <xdr:sp macro="" textlink="">
          <xdr:nvSpPr>
            <xdr:cNvPr id="51376" name="Check Box 176" hidden="1">
              <a:extLst>
                <a:ext uri="{63B3BB69-23CF-44E3-9099-C40C66FF867C}">
                  <a14:compatExt spid="_x0000_s51376"/>
                </a:ext>
                <a:ext uri="{FF2B5EF4-FFF2-40B4-BE49-F238E27FC236}">
                  <a16:creationId xmlns:a16="http://schemas.microsoft.com/office/drawing/2014/main" id="{00000000-0008-0000-0100-0000B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21</xdr:row>
          <xdr:rowOff>28575</xdr:rowOff>
        </xdr:from>
        <xdr:to>
          <xdr:col>7</xdr:col>
          <xdr:colOff>895350</xdr:colOff>
          <xdr:row>21</xdr:row>
          <xdr:rowOff>276225</xdr:rowOff>
        </xdr:to>
        <xdr:sp macro="" textlink="">
          <xdr:nvSpPr>
            <xdr:cNvPr id="51377" name="Check Box 177" hidden="1">
              <a:extLst>
                <a:ext uri="{63B3BB69-23CF-44E3-9099-C40C66FF867C}">
                  <a14:compatExt spid="_x0000_s51377"/>
                </a:ext>
                <a:ext uri="{FF2B5EF4-FFF2-40B4-BE49-F238E27FC236}">
                  <a16:creationId xmlns:a16="http://schemas.microsoft.com/office/drawing/2014/main" id="{00000000-0008-0000-0100-0000B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714375</xdr:colOff>
          <xdr:row>0</xdr:row>
          <xdr:rowOff>800100</xdr:rowOff>
        </xdr:from>
        <xdr:to>
          <xdr:col>2</xdr:col>
          <xdr:colOff>1143000</xdr:colOff>
          <xdr:row>0</xdr:row>
          <xdr:rowOff>1085850</xdr:rowOff>
        </xdr:to>
        <xdr:sp macro="" textlink="">
          <xdr:nvSpPr>
            <xdr:cNvPr id="51391" name="Option Button 191" hidden="1">
              <a:extLst>
                <a:ext uri="{63B3BB69-23CF-44E3-9099-C40C66FF867C}">
                  <a14:compatExt spid="_x0000_s51391"/>
                </a:ext>
                <a:ext uri="{FF2B5EF4-FFF2-40B4-BE49-F238E27FC236}">
                  <a16:creationId xmlns:a16="http://schemas.microsoft.com/office/drawing/2014/main" id="{00000000-0008-0000-0100-0000BF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1885950</xdr:colOff>
          <xdr:row>0</xdr:row>
          <xdr:rowOff>800100</xdr:rowOff>
        </xdr:from>
        <xdr:to>
          <xdr:col>3</xdr:col>
          <xdr:colOff>142875</xdr:colOff>
          <xdr:row>0</xdr:row>
          <xdr:rowOff>1085850</xdr:rowOff>
        </xdr:to>
        <xdr:sp macro="" textlink="">
          <xdr:nvSpPr>
            <xdr:cNvPr id="51392" name="Option Button 192" hidden="1">
              <a:extLst>
                <a:ext uri="{63B3BB69-23CF-44E3-9099-C40C66FF867C}">
                  <a14:compatExt spid="_x0000_s51392"/>
                </a:ext>
                <a:ext uri="{FF2B5EF4-FFF2-40B4-BE49-F238E27FC236}">
                  <a16:creationId xmlns:a16="http://schemas.microsoft.com/office/drawing/2014/main" id="{00000000-0008-0000-0100-0000C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34</xdr:row>
          <xdr:rowOff>38100</xdr:rowOff>
        </xdr:from>
        <xdr:to>
          <xdr:col>19</xdr:col>
          <xdr:colOff>304800</xdr:colOff>
          <xdr:row>34</xdr:row>
          <xdr:rowOff>609600</xdr:rowOff>
        </xdr:to>
        <xdr:sp macro="" textlink="">
          <xdr:nvSpPr>
            <xdr:cNvPr id="51423" name="Check Box 223" hidden="1">
              <a:extLst>
                <a:ext uri="{63B3BB69-23CF-44E3-9099-C40C66FF867C}">
                  <a14:compatExt spid="_x0000_s51423"/>
                </a:ext>
                <a:ext uri="{FF2B5EF4-FFF2-40B4-BE49-F238E27FC236}">
                  <a16:creationId xmlns:a16="http://schemas.microsoft.com/office/drawing/2014/main" id="{00000000-0008-0000-0100-0000DF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952500</xdr:colOff>
          <xdr:row>0</xdr:row>
          <xdr:rowOff>809625</xdr:rowOff>
        </xdr:from>
        <xdr:to>
          <xdr:col>3</xdr:col>
          <xdr:colOff>1438275</xdr:colOff>
          <xdr:row>0</xdr:row>
          <xdr:rowOff>1076325</xdr:rowOff>
        </xdr:to>
        <xdr:sp macro="" textlink="">
          <xdr:nvSpPr>
            <xdr:cNvPr id="51439" name="Option Button 239" hidden="1">
              <a:extLst>
                <a:ext uri="{63B3BB69-23CF-44E3-9099-C40C66FF867C}">
                  <a14:compatExt spid="_x0000_s51439"/>
                </a:ext>
                <a:ext uri="{FF2B5EF4-FFF2-40B4-BE49-F238E27FC236}">
                  <a16:creationId xmlns:a16="http://schemas.microsoft.com/office/drawing/2014/main" id="{00000000-0008-0000-0100-0000EF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152400</xdr:colOff>
          <xdr:row>0</xdr:row>
          <xdr:rowOff>800100</xdr:rowOff>
        </xdr:from>
        <xdr:to>
          <xdr:col>6</xdr:col>
          <xdr:colOff>657225</xdr:colOff>
          <xdr:row>1</xdr:row>
          <xdr:rowOff>0</xdr:rowOff>
        </xdr:to>
        <xdr:sp macro="" textlink="">
          <xdr:nvSpPr>
            <xdr:cNvPr id="51440" name="Option Button 240" hidden="1">
              <a:extLst>
                <a:ext uri="{63B3BB69-23CF-44E3-9099-C40C66FF867C}">
                  <a14:compatExt spid="_x0000_s51440"/>
                </a:ext>
                <a:ext uri="{FF2B5EF4-FFF2-40B4-BE49-F238E27FC236}">
                  <a16:creationId xmlns:a16="http://schemas.microsoft.com/office/drawing/2014/main" id="{00000000-0008-0000-0100-0000F0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xdr:row>
          <xdr:rowOff>0</xdr:rowOff>
        </xdr:from>
        <xdr:to>
          <xdr:col>6</xdr:col>
          <xdr:colOff>1381125</xdr:colOff>
          <xdr:row>13</xdr:row>
          <xdr:rowOff>657225</xdr:rowOff>
        </xdr:to>
        <xdr:sp macro="" textlink="">
          <xdr:nvSpPr>
            <xdr:cNvPr id="51473" name="Check Box 273" hidden="1">
              <a:extLst>
                <a:ext uri="{63B3BB69-23CF-44E3-9099-C40C66FF867C}">
                  <a14:compatExt spid="_x0000_s51473"/>
                </a:ext>
                <a:ext uri="{FF2B5EF4-FFF2-40B4-BE49-F238E27FC236}">
                  <a16:creationId xmlns:a16="http://schemas.microsoft.com/office/drawing/2014/main" id="{00000000-0008-0000-0100-000011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13</xdr:row>
          <xdr:rowOff>9525</xdr:rowOff>
        </xdr:from>
        <xdr:to>
          <xdr:col>7</xdr:col>
          <xdr:colOff>1428750</xdr:colOff>
          <xdr:row>13</xdr:row>
          <xdr:rowOff>666750</xdr:rowOff>
        </xdr:to>
        <xdr:sp macro="" textlink="">
          <xdr:nvSpPr>
            <xdr:cNvPr id="51474" name="Check Box 274" hidden="1">
              <a:extLst>
                <a:ext uri="{63B3BB69-23CF-44E3-9099-C40C66FF867C}">
                  <a14:compatExt spid="_x0000_s51474"/>
                </a:ext>
                <a:ext uri="{FF2B5EF4-FFF2-40B4-BE49-F238E27FC236}">
                  <a16:creationId xmlns:a16="http://schemas.microsoft.com/office/drawing/2014/main" id="{00000000-0008-0000-0100-000012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13</xdr:row>
          <xdr:rowOff>0</xdr:rowOff>
        </xdr:from>
        <xdr:to>
          <xdr:col>8</xdr:col>
          <xdr:colOff>1181100</xdr:colOff>
          <xdr:row>13</xdr:row>
          <xdr:rowOff>657225</xdr:rowOff>
        </xdr:to>
        <xdr:sp macro="" textlink="">
          <xdr:nvSpPr>
            <xdr:cNvPr id="51476" name="Check Box 276" hidden="1">
              <a:extLst>
                <a:ext uri="{63B3BB69-23CF-44E3-9099-C40C66FF867C}">
                  <a14:compatExt spid="_x0000_s51476"/>
                </a:ext>
                <a:ext uri="{FF2B5EF4-FFF2-40B4-BE49-F238E27FC236}">
                  <a16:creationId xmlns:a16="http://schemas.microsoft.com/office/drawing/2014/main" id="{00000000-0008-0000-0100-000014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857250</xdr:colOff>
          <xdr:row>21</xdr:row>
          <xdr:rowOff>276225</xdr:rowOff>
        </xdr:from>
        <xdr:to>
          <xdr:col>11</xdr:col>
          <xdr:colOff>352425</xdr:colOff>
          <xdr:row>21</xdr:row>
          <xdr:rowOff>523875</xdr:rowOff>
        </xdr:to>
        <xdr:sp macro="" textlink="">
          <xdr:nvSpPr>
            <xdr:cNvPr id="51484" name="Check Box 284" hidden="1">
              <a:extLst>
                <a:ext uri="{63B3BB69-23CF-44E3-9099-C40C66FF867C}">
                  <a14:compatExt spid="_x0000_s51484"/>
                </a:ext>
                <a:ext uri="{FF2B5EF4-FFF2-40B4-BE49-F238E27FC236}">
                  <a16:creationId xmlns:a16="http://schemas.microsoft.com/office/drawing/2014/main" id="{00000000-0008-0000-0100-00001C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447675</xdr:colOff>
          <xdr:row>0</xdr:row>
          <xdr:rowOff>828675</xdr:rowOff>
        </xdr:from>
        <xdr:to>
          <xdr:col>5</xdr:col>
          <xdr:colOff>190500</xdr:colOff>
          <xdr:row>1</xdr:row>
          <xdr:rowOff>0</xdr:rowOff>
        </xdr:to>
        <xdr:sp macro="" textlink="">
          <xdr:nvSpPr>
            <xdr:cNvPr id="51549" name="Option Button 349" hidden="1">
              <a:extLst>
                <a:ext uri="{63B3BB69-23CF-44E3-9099-C40C66FF867C}">
                  <a14:compatExt spid="_x0000_s51549"/>
                </a:ext>
                <a:ext uri="{FF2B5EF4-FFF2-40B4-BE49-F238E27FC236}">
                  <a16:creationId xmlns:a16="http://schemas.microsoft.com/office/drawing/2014/main" id="{00000000-0008-0000-0100-00005D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1466850</xdr:colOff>
          <xdr:row>13</xdr:row>
          <xdr:rowOff>28575</xdr:rowOff>
        </xdr:from>
        <xdr:to>
          <xdr:col>9</xdr:col>
          <xdr:colOff>1152525</xdr:colOff>
          <xdr:row>13</xdr:row>
          <xdr:rowOff>619125</xdr:rowOff>
        </xdr:to>
        <xdr:sp macro="" textlink="">
          <xdr:nvSpPr>
            <xdr:cNvPr id="51475" name="Check Box 275" hidden="1">
              <a:extLst>
                <a:ext uri="{63B3BB69-23CF-44E3-9099-C40C66FF867C}">
                  <a14:compatExt spid="_x0000_s51475"/>
                </a:ext>
                <a:ext uri="{FF2B5EF4-FFF2-40B4-BE49-F238E27FC236}">
                  <a16:creationId xmlns:a16="http://schemas.microsoft.com/office/drawing/2014/main" id="{00000000-0008-0000-0100-000013C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171450</xdr:colOff>
          <xdr:row>2</xdr:row>
          <xdr:rowOff>0</xdr:rowOff>
        </xdr:from>
        <xdr:to>
          <xdr:col>9</xdr:col>
          <xdr:colOff>1228725</xdr:colOff>
          <xdr:row>3</xdr:row>
          <xdr:rowOff>0</xdr:rowOff>
        </xdr:to>
        <xdr:sp macro="" textlink="">
          <xdr:nvSpPr>
            <xdr:cNvPr id="51744" name="Check Box 544" hidden="1">
              <a:extLst>
                <a:ext uri="{63B3BB69-23CF-44E3-9099-C40C66FF867C}">
                  <a14:compatExt spid="_x0000_s51744"/>
                </a:ext>
                <a:ext uri="{FF2B5EF4-FFF2-40B4-BE49-F238E27FC236}">
                  <a16:creationId xmlns:a16="http://schemas.microsoft.com/office/drawing/2014/main" id="{00000000-0008-0000-0100-000020CA0000}"/>
                </a:ext>
              </a:extLst>
            </xdr:cNvPr>
            <xdr:cNvSpPr/>
          </xdr:nvSpPr>
          <xdr:spPr bwMode="auto">
            <a:xfrm>
              <a:off x="0" y="0"/>
              <a:ext cx="0" cy="0"/>
            </a:xfrm>
            <a:prstGeom prst="rect">
              <a:avLst/>
            </a:prstGeom>
            <a:solidFill>
              <a:srgbClr val="FF0000" mc:Ignorable="a14" a14:legacySpreadsheetColorIndex="10">
                <a:alpha val="34000"/>
              </a:srgbClr>
            </a:solidFill>
            <a:ln w="9525">
              <a:solidFill>
                <a:srgbClr val="FF0000" mc:Ignorable="a14" a14:legacySpreadsheetColorIndex="1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190500</xdr:colOff>
          <xdr:row>0</xdr:row>
          <xdr:rowOff>809625</xdr:rowOff>
        </xdr:from>
        <xdr:to>
          <xdr:col>7</xdr:col>
          <xdr:colOff>695325</xdr:colOff>
          <xdr:row>0</xdr:row>
          <xdr:rowOff>1066800</xdr:rowOff>
        </xdr:to>
        <xdr:sp macro="" textlink="">
          <xdr:nvSpPr>
            <xdr:cNvPr id="51750" name="Option Button 550" hidden="1">
              <a:extLst>
                <a:ext uri="{63B3BB69-23CF-44E3-9099-C40C66FF867C}">
                  <a14:compatExt spid="_x0000_s51750"/>
                </a:ext>
                <a:ext uri="{FF2B5EF4-FFF2-40B4-BE49-F238E27FC236}">
                  <a16:creationId xmlns:a16="http://schemas.microsoft.com/office/drawing/2014/main" id="{00000000-0008-0000-0100-000026C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1524000</xdr:colOff>
          <xdr:row>0</xdr:row>
          <xdr:rowOff>809625</xdr:rowOff>
        </xdr:from>
        <xdr:to>
          <xdr:col>8</xdr:col>
          <xdr:colOff>152400</xdr:colOff>
          <xdr:row>1</xdr:row>
          <xdr:rowOff>0</xdr:rowOff>
        </xdr:to>
        <xdr:sp macro="" textlink="">
          <xdr:nvSpPr>
            <xdr:cNvPr id="51862" name="Option Button 662" hidden="1">
              <a:extLst>
                <a:ext uri="{63B3BB69-23CF-44E3-9099-C40C66FF867C}">
                  <a14:compatExt spid="_x0000_s51862"/>
                </a:ext>
                <a:ext uri="{FF2B5EF4-FFF2-40B4-BE49-F238E27FC236}">
                  <a16:creationId xmlns:a16="http://schemas.microsoft.com/office/drawing/2014/main" id="{00000000-0008-0000-0100-000096C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962025</xdr:colOff>
          <xdr:row>0</xdr:row>
          <xdr:rowOff>800100</xdr:rowOff>
        </xdr:from>
        <xdr:to>
          <xdr:col>9</xdr:col>
          <xdr:colOff>0</xdr:colOff>
          <xdr:row>1</xdr:row>
          <xdr:rowOff>0</xdr:rowOff>
        </xdr:to>
        <xdr:sp macro="" textlink="">
          <xdr:nvSpPr>
            <xdr:cNvPr id="51863" name="Option Button 663" hidden="1">
              <a:extLst>
                <a:ext uri="{63B3BB69-23CF-44E3-9099-C40C66FF867C}">
                  <a14:compatExt spid="_x0000_s51863"/>
                </a:ext>
                <a:ext uri="{FF2B5EF4-FFF2-40B4-BE49-F238E27FC236}">
                  <a16:creationId xmlns:a16="http://schemas.microsoft.com/office/drawing/2014/main" id="{00000000-0008-0000-0100-000097C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695325</xdr:colOff>
          <xdr:row>0</xdr:row>
          <xdr:rowOff>781050</xdr:rowOff>
        </xdr:from>
        <xdr:to>
          <xdr:col>11</xdr:col>
          <xdr:colOff>66675</xdr:colOff>
          <xdr:row>1</xdr:row>
          <xdr:rowOff>0</xdr:rowOff>
        </xdr:to>
        <xdr:sp macro="" textlink="">
          <xdr:nvSpPr>
            <xdr:cNvPr id="51864" name="Option Button 664" hidden="1">
              <a:extLst>
                <a:ext uri="{63B3BB69-23CF-44E3-9099-C40C66FF867C}">
                  <a14:compatExt spid="_x0000_s51864"/>
                </a:ext>
                <a:ext uri="{FF2B5EF4-FFF2-40B4-BE49-F238E27FC236}">
                  <a16:creationId xmlns:a16="http://schemas.microsoft.com/office/drawing/2014/main" id="{00000000-0008-0000-0100-000098CA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28575">
                  <a:solidFill>
                    <a:srgbClr val="FF0000" mc:Ignorable="a14" a14:legacySpreadsheetColorIndex="1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99</xdr:row>
          <xdr:rowOff>0</xdr:rowOff>
        </xdr:from>
        <xdr:to>
          <xdr:col>9</xdr:col>
          <xdr:colOff>1247775</xdr:colOff>
          <xdr:row>99</xdr:row>
          <xdr:rowOff>619125</xdr:rowOff>
        </xdr:to>
        <xdr:sp macro="" textlink="">
          <xdr:nvSpPr>
            <xdr:cNvPr id="51866" name="Check Box 666" hidden="1">
              <a:extLst>
                <a:ext uri="{63B3BB69-23CF-44E3-9099-C40C66FF867C}">
                  <a14:compatExt spid="_x0000_s51866"/>
                </a:ext>
                <a:ext uri="{FF2B5EF4-FFF2-40B4-BE49-F238E27FC236}">
                  <a16:creationId xmlns:a16="http://schemas.microsoft.com/office/drawing/2014/main" id="{00000000-0008-0000-0100-00009ACA0000}"/>
                </a:ext>
              </a:extLst>
            </xdr:cNvPr>
            <xdr:cNvSpPr/>
          </xdr:nvSpPr>
          <xdr:spPr bwMode="auto">
            <a:xfrm>
              <a:off x="0" y="0"/>
              <a:ext cx="0" cy="0"/>
            </a:xfrm>
            <a:prstGeom prst="rect">
              <a:avLst/>
            </a:prstGeom>
            <a:solidFill>
              <a:srgbClr val="FF0000" mc:Ignorable="a14" a14:legacySpreadsheetColorIndex="10">
                <a:alpha val="50000"/>
              </a:srgbClr>
            </a:solidFill>
            <a:ln w="9525">
              <a:solidFill>
                <a:srgbClr val="FF0000" mc:Ignorable="a14" a14:legacySpreadsheetColorIndex="1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38100</xdr:colOff>
      <xdr:row>24</xdr:row>
      <xdr:rowOff>0</xdr:rowOff>
    </xdr:from>
    <xdr:to>
      <xdr:col>0</xdr:col>
      <xdr:colOff>38100</xdr:colOff>
      <xdr:row>51</xdr:row>
      <xdr:rowOff>0</xdr:rowOff>
    </xdr:to>
    <xdr:sp macro="" textlink="">
      <xdr:nvSpPr>
        <xdr:cNvPr id="60417" name="Line 2">
          <a:extLst>
            <a:ext uri="{FF2B5EF4-FFF2-40B4-BE49-F238E27FC236}">
              <a16:creationId xmlns:a16="http://schemas.microsoft.com/office/drawing/2014/main" id="{00000000-0008-0000-0300-000001EC0000}"/>
            </a:ext>
          </a:extLst>
        </xdr:cNvPr>
        <xdr:cNvSpPr>
          <a:spLocks noChangeShapeType="1"/>
        </xdr:cNvSpPr>
      </xdr:nvSpPr>
      <xdr:spPr bwMode="auto">
        <a:xfrm>
          <a:off x="38100" y="5553075"/>
          <a:ext cx="0" cy="4838700"/>
        </a:xfrm>
        <a:prstGeom prst="line">
          <a:avLst/>
        </a:prstGeom>
        <a:noFill/>
        <a:ln w="19050">
          <a:solidFill>
            <a:srgbClr val="000000"/>
          </a:solidFill>
          <a:round/>
          <a:headEnd/>
          <a:tailEnd/>
        </a:ln>
      </xdr:spPr>
    </xdr:sp>
    <xdr:clientData/>
  </xdr:twoCellAnchor>
  <xdr:twoCellAnchor>
    <xdr:from>
      <xdr:col>0</xdr:col>
      <xdr:colOff>38100</xdr:colOff>
      <xdr:row>51</xdr:row>
      <xdr:rowOff>0</xdr:rowOff>
    </xdr:from>
    <xdr:to>
      <xdr:col>0</xdr:col>
      <xdr:colOff>38100</xdr:colOff>
      <xdr:row>51</xdr:row>
      <xdr:rowOff>0</xdr:rowOff>
    </xdr:to>
    <xdr:sp macro="" textlink="">
      <xdr:nvSpPr>
        <xdr:cNvPr id="60418" name="Line 3">
          <a:extLst>
            <a:ext uri="{FF2B5EF4-FFF2-40B4-BE49-F238E27FC236}">
              <a16:creationId xmlns:a16="http://schemas.microsoft.com/office/drawing/2014/main" id="{00000000-0008-0000-0300-000002EC0000}"/>
            </a:ext>
          </a:extLst>
        </xdr:cNvPr>
        <xdr:cNvSpPr>
          <a:spLocks noChangeShapeType="1"/>
        </xdr:cNvSpPr>
      </xdr:nvSpPr>
      <xdr:spPr bwMode="auto">
        <a:xfrm>
          <a:off x="38100" y="10391775"/>
          <a:ext cx="0" cy="0"/>
        </a:xfrm>
        <a:prstGeom prst="line">
          <a:avLst/>
        </a:prstGeom>
        <a:noFill/>
        <a:ln w="19050">
          <a:solidFill>
            <a:srgbClr val="000000"/>
          </a:solidFill>
          <a:round/>
          <a:headEnd/>
          <a:tailEnd/>
        </a:ln>
      </xdr:spPr>
    </xdr:sp>
    <xdr:clientData/>
  </xdr:twoCellAnchor>
  <xdr:twoCellAnchor>
    <xdr:from>
      <xdr:col>0</xdr:col>
      <xdr:colOff>38100</xdr:colOff>
      <xdr:row>1</xdr:row>
      <xdr:rowOff>0</xdr:rowOff>
    </xdr:from>
    <xdr:to>
      <xdr:col>0</xdr:col>
      <xdr:colOff>38100</xdr:colOff>
      <xdr:row>23</xdr:row>
      <xdr:rowOff>0</xdr:rowOff>
    </xdr:to>
    <xdr:sp macro="" textlink="">
      <xdr:nvSpPr>
        <xdr:cNvPr id="60419" name="Line 5">
          <a:extLst>
            <a:ext uri="{FF2B5EF4-FFF2-40B4-BE49-F238E27FC236}">
              <a16:creationId xmlns:a16="http://schemas.microsoft.com/office/drawing/2014/main" id="{00000000-0008-0000-0300-000003EC0000}"/>
            </a:ext>
          </a:extLst>
        </xdr:cNvPr>
        <xdr:cNvSpPr>
          <a:spLocks noChangeShapeType="1"/>
        </xdr:cNvSpPr>
      </xdr:nvSpPr>
      <xdr:spPr bwMode="auto">
        <a:xfrm>
          <a:off x="38100" y="1143000"/>
          <a:ext cx="0" cy="3933825"/>
        </a:xfrm>
        <a:prstGeom prst="line">
          <a:avLst/>
        </a:prstGeom>
        <a:noFill/>
        <a:ln w="19050">
          <a:solidFill>
            <a:srgbClr val="000000"/>
          </a:solidFill>
          <a:round/>
          <a:headEnd/>
          <a:tailEnd/>
        </a:ln>
      </xdr:spPr>
    </xdr:sp>
    <xdr:clientData/>
  </xdr:twoCellAnchor>
  <xdr:twoCellAnchor>
    <xdr:from>
      <xdr:col>2</xdr:col>
      <xdr:colOff>1419225</xdr:colOff>
      <xdr:row>1</xdr:row>
      <xdr:rowOff>0</xdr:rowOff>
    </xdr:from>
    <xdr:to>
      <xdr:col>5</xdr:col>
      <xdr:colOff>3000375</xdr:colOff>
      <xdr:row>17</xdr:row>
      <xdr:rowOff>85725</xdr:rowOff>
    </xdr:to>
    <xdr:sp macro="" textlink="">
      <xdr:nvSpPr>
        <xdr:cNvPr id="61446" name="WordArt 6">
          <a:extLst>
            <a:ext uri="{FF2B5EF4-FFF2-40B4-BE49-F238E27FC236}">
              <a16:creationId xmlns:a16="http://schemas.microsoft.com/office/drawing/2014/main" id="{00000000-0008-0000-0300-000006F00000}"/>
            </a:ext>
          </a:extLst>
        </xdr:cNvPr>
        <xdr:cNvSpPr>
          <a:spLocks noChangeArrowheads="1" noChangeShapeType="1" noTextEdit="1"/>
        </xdr:cNvSpPr>
      </xdr:nvSpPr>
      <xdr:spPr bwMode="auto">
        <a:xfrm>
          <a:off x="2638425" y="1143000"/>
          <a:ext cx="5753100" cy="3028950"/>
        </a:xfrm>
        <a:prstGeom prst="rect">
          <a:avLst/>
        </a:prstGeom>
      </xdr:spPr>
      <xdr:txBody>
        <a:bodyPr wrap="none" fromWordArt="1">
          <a:prstTxWarp prst="textSlantUp">
            <a:avLst>
              <a:gd name="adj" fmla="val 55556"/>
            </a:avLst>
          </a:prstTxWarp>
        </a:bodyPr>
        <a:lstStyle/>
        <a:p>
          <a:pPr algn="ctr" rtl="0">
            <a:buNone/>
          </a:pPr>
          <a:r>
            <a:rPr lang="en-GB" sz="3600" kern="10" spc="0">
              <a:ln w="9525">
                <a:solidFill>
                  <a:srgbClr val="000000"/>
                </a:solidFill>
                <a:round/>
                <a:headEnd/>
                <a:tailEnd/>
              </a:ln>
              <a:solidFill>
                <a:srgbClr val="000000">
                  <a:alpha val="999"/>
                </a:srgbClr>
              </a:solidFill>
              <a:effectLst/>
              <a:latin typeface="Arial Black"/>
            </a:rPr>
            <a:t>Example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34</xdr:col>
      <xdr:colOff>0</xdr:colOff>
      <xdr:row>5</xdr:row>
      <xdr:rowOff>19050</xdr:rowOff>
    </xdr:from>
    <xdr:to>
      <xdr:col>42</xdr:col>
      <xdr:colOff>190500</xdr:colOff>
      <xdr:row>15</xdr:row>
      <xdr:rowOff>0</xdr:rowOff>
    </xdr:to>
    <xdr:sp macro="" textlink="">
      <xdr:nvSpPr>
        <xdr:cNvPr id="61441" name="Line 2">
          <a:extLst>
            <a:ext uri="{FF2B5EF4-FFF2-40B4-BE49-F238E27FC236}">
              <a16:creationId xmlns:a16="http://schemas.microsoft.com/office/drawing/2014/main" id="{00000000-0008-0000-0400-000001F00000}"/>
            </a:ext>
          </a:extLst>
        </xdr:cNvPr>
        <xdr:cNvSpPr>
          <a:spLocks noChangeShapeType="1"/>
        </xdr:cNvSpPr>
      </xdr:nvSpPr>
      <xdr:spPr bwMode="auto">
        <a:xfrm>
          <a:off x="7124700" y="962025"/>
          <a:ext cx="1866900" cy="2076450"/>
        </a:xfrm>
        <a:prstGeom prst="line">
          <a:avLst/>
        </a:prstGeom>
        <a:noFill/>
        <a:ln w="9525">
          <a:solidFill>
            <a:srgbClr val="000000"/>
          </a:solidFill>
          <a:round/>
          <a:headEnd/>
          <a:tailEnd/>
        </a:ln>
      </xdr:spPr>
    </xdr:sp>
    <xdr:clientData/>
  </xdr:twoCellAnchor>
  <xdr:twoCellAnchor>
    <xdr:from>
      <xdr:col>34</xdr:col>
      <xdr:colOff>0</xdr:colOff>
      <xdr:row>15</xdr:row>
      <xdr:rowOff>0</xdr:rowOff>
    </xdr:from>
    <xdr:to>
      <xdr:col>42</xdr:col>
      <xdr:colOff>190500</xdr:colOff>
      <xdr:row>24</xdr:row>
      <xdr:rowOff>200025</xdr:rowOff>
    </xdr:to>
    <xdr:sp macro="" textlink="">
      <xdr:nvSpPr>
        <xdr:cNvPr id="61442" name="Line 4">
          <a:extLst>
            <a:ext uri="{FF2B5EF4-FFF2-40B4-BE49-F238E27FC236}">
              <a16:creationId xmlns:a16="http://schemas.microsoft.com/office/drawing/2014/main" id="{00000000-0008-0000-0400-000002F00000}"/>
            </a:ext>
          </a:extLst>
        </xdr:cNvPr>
        <xdr:cNvSpPr>
          <a:spLocks noChangeShapeType="1"/>
        </xdr:cNvSpPr>
      </xdr:nvSpPr>
      <xdr:spPr bwMode="auto">
        <a:xfrm flipH="1">
          <a:off x="7124700" y="3038475"/>
          <a:ext cx="1866900" cy="2085975"/>
        </a:xfrm>
        <a:prstGeom prst="line">
          <a:avLst/>
        </a:prstGeom>
        <a:noFill/>
        <a:ln w="9525">
          <a:solidFill>
            <a:srgbClr val="000000"/>
          </a:solidFill>
          <a:round/>
          <a:headEnd/>
          <a:tailEnd/>
        </a:ln>
      </xdr:spPr>
    </xdr:sp>
    <xdr:clientData/>
  </xdr:twoCellAnchor>
  <xdr:twoCellAnchor>
    <xdr:from>
      <xdr:col>1</xdr:col>
      <xdr:colOff>123825</xdr:colOff>
      <xdr:row>4</xdr:row>
      <xdr:rowOff>0</xdr:rowOff>
    </xdr:from>
    <xdr:to>
      <xdr:col>9</xdr:col>
      <xdr:colOff>28575</xdr:colOff>
      <xdr:row>5</xdr:row>
      <xdr:rowOff>28575</xdr:rowOff>
    </xdr:to>
    <xdr:sp macro="" textlink="">
      <xdr:nvSpPr>
        <xdr:cNvPr id="60421" name="Rectangle 6">
          <a:extLst>
            <a:ext uri="{FF2B5EF4-FFF2-40B4-BE49-F238E27FC236}">
              <a16:creationId xmlns:a16="http://schemas.microsoft.com/office/drawing/2014/main" id="{00000000-0008-0000-0400-000005EC0000}"/>
            </a:ext>
          </a:extLst>
        </xdr:cNvPr>
        <xdr:cNvSpPr>
          <a:spLocks noChangeArrowheads="1"/>
        </xdr:cNvSpPr>
      </xdr:nvSpPr>
      <xdr:spPr bwMode="auto">
        <a:xfrm>
          <a:off x="333375" y="733425"/>
          <a:ext cx="1581150" cy="23812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MEDIO AMBIENTE</a:t>
          </a:r>
          <a:endParaRPr lang="en-GB"/>
        </a:p>
      </xdr:txBody>
    </xdr:sp>
    <xdr:clientData/>
  </xdr:twoCellAnchor>
  <xdr:twoCellAnchor>
    <xdr:from>
      <xdr:col>14</xdr:col>
      <xdr:colOff>47625</xdr:colOff>
      <xdr:row>3</xdr:row>
      <xdr:rowOff>180975</xdr:rowOff>
    </xdr:from>
    <xdr:to>
      <xdr:col>22</xdr:col>
      <xdr:colOff>19050</xdr:colOff>
      <xdr:row>5</xdr:row>
      <xdr:rowOff>9525</xdr:rowOff>
    </xdr:to>
    <xdr:sp macro="" textlink="">
      <xdr:nvSpPr>
        <xdr:cNvPr id="60422" name="Rectangle 8">
          <a:extLst>
            <a:ext uri="{FF2B5EF4-FFF2-40B4-BE49-F238E27FC236}">
              <a16:creationId xmlns:a16="http://schemas.microsoft.com/office/drawing/2014/main" id="{00000000-0008-0000-0400-000006EC0000}"/>
            </a:ext>
          </a:extLst>
        </xdr:cNvPr>
        <xdr:cNvSpPr>
          <a:spLocks noChangeArrowheads="1"/>
        </xdr:cNvSpPr>
      </xdr:nvSpPr>
      <xdr:spPr bwMode="auto">
        <a:xfrm>
          <a:off x="2981325" y="704850"/>
          <a:ext cx="1647825" cy="247650"/>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 MÁQUINA</a:t>
          </a:r>
          <a:endParaRPr lang="en-GB"/>
        </a:p>
      </xdr:txBody>
    </xdr:sp>
    <xdr:clientData/>
  </xdr:twoCellAnchor>
  <xdr:twoCellAnchor>
    <xdr:from>
      <xdr:col>30</xdr:col>
      <xdr:colOff>200025</xdr:colOff>
      <xdr:row>3</xdr:row>
      <xdr:rowOff>171450</xdr:rowOff>
    </xdr:from>
    <xdr:to>
      <xdr:col>39</xdr:col>
      <xdr:colOff>76200</xdr:colOff>
      <xdr:row>5</xdr:row>
      <xdr:rowOff>9525</xdr:rowOff>
    </xdr:to>
    <xdr:sp macro="" textlink="">
      <xdr:nvSpPr>
        <xdr:cNvPr id="60423" name="Rectangle 9">
          <a:extLst>
            <a:ext uri="{FF2B5EF4-FFF2-40B4-BE49-F238E27FC236}">
              <a16:creationId xmlns:a16="http://schemas.microsoft.com/office/drawing/2014/main" id="{00000000-0008-0000-0400-000007EC0000}"/>
            </a:ext>
          </a:extLst>
        </xdr:cNvPr>
        <xdr:cNvSpPr>
          <a:spLocks noChangeArrowheads="1"/>
        </xdr:cNvSpPr>
      </xdr:nvSpPr>
      <xdr:spPr bwMode="auto">
        <a:xfrm>
          <a:off x="6486525" y="695325"/>
          <a:ext cx="1762125" cy="25717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PERSONA </a:t>
          </a:r>
          <a:endParaRPr lang="en-GB"/>
        </a:p>
      </xdr:txBody>
    </xdr:sp>
    <xdr:clientData/>
  </xdr:twoCellAnchor>
  <xdr:twoCellAnchor>
    <xdr:from>
      <xdr:col>14</xdr:col>
      <xdr:colOff>85725</xdr:colOff>
      <xdr:row>25</xdr:row>
      <xdr:rowOff>0</xdr:rowOff>
    </xdr:from>
    <xdr:to>
      <xdr:col>22</xdr:col>
      <xdr:colOff>28575</xdr:colOff>
      <xdr:row>26</xdr:row>
      <xdr:rowOff>47625</xdr:rowOff>
    </xdr:to>
    <xdr:sp macro="" textlink="">
      <xdr:nvSpPr>
        <xdr:cNvPr id="60424" name="Rectangle 10">
          <a:extLst>
            <a:ext uri="{FF2B5EF4-FFF2-40B4-BE49-F238E27FC236}">
              <a16:creationId xmlns:a16="http://schemas.microsoft.com/office/drawing/2014/main" id="{00000000-0008-0000-0400-000008EC0000}"/>
            </a:ext>
          </a:extLst>
        </xdr:cNvPr>
        <xdr:cNvSpPr>
          <a:spLocks noChangeArrowheads="1"/>
        </xdr:cNvSpPr>
      </xdr:nvSpPr>
      <xdr:spPr bwMode="auto">
        <a:xfrm>
          <a:off x="3019425" y="5133975"/>
          <a:ext cx="1619250" cy="25717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 MÉTODO</a:t>
          </a:r>
          <a:endParaRPr lang="en-GB"/>
        </a:p>
      </xdr:txBody>
    </xdr:sp>
    <xdr:clientData/>
  </xdr:twoCellAnchor>
  <xdr:twoCellAnchor>
    <xdr:from>
      <xdr:col>31</xdr:col>
      <xdr:colOff>9525</xdr:colOff>
      <xdr:row>24</xdr:row>
      <xdr:rowOff>200025</xdr:rowOff>
    </xdr:from>
    <xdr:to>
      <xdr:col>37</xdr:col>
      <xdr:colOff>171450</xdr:colOff>
      <xdr:row>26</xdr:row>
      <xdr:rowOff>57150</xdr:rowOff>
    </xdr:to>
    <xdr:sp macro="" textlink="">
      <xdr:nvSpPr>
        <xdr:cNvPr id="60425" name="Rectangle 11">
          <a:extLst>
            <a:ext uri="{FF2B5EF4-FFF2-40B4-BE49-F238E27FC236}">
              <a16:creationId xmlns:a16="http://schemas.microsoft.com/office/drawing/2014/main" id="{00000000-0008-0000-0400-000009EC0000}"/>
            </a:ext>
          </a:extLst>
        </xdr:cNvPr>
        <xdr:cNvSpPr>
          <a:spLocks noChangeArrowheads="1"/>
        </xdr:cNvSpPr>
      </xdr:nvSpPr>
      <xdr:spPr bwMode="auto">
        <a:xfrm>
          <a:off x="6505575" y="5124450"/>
          <a:ext cx="1419225" cy="27622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MATERIAL</a:t>
          </a:r>
          <a:endParaRPr lang="en-GB"/>
        </a:p>
      </xdr:txBody>
    </xdr:sp>
    <xdr:clientData/>
  </xdr:twoCellAnchor>
  <xdr:twoCellAnchor>
    <xdr:from>
      <xdr:col>18</xdr:col>
      <xdr:colOff>19050</xdr:colOff>
      <xdr:row>5</xdr:row>
      <xdr:rowOff>28575</xdr:rowOff>
    </xdr:from>
    <xdr:to>
      <xdr:col>27</xdr:col>
      <xdr:colOff>19050</xdr:colOff>
      <xdr:row>15</xdr:row>
      <xdr:rowOff>9525</xdr:rowOff>
    </xdr:to>
    <xdr:sp macro="" textlink="">
      <xdr:nvSpPr>
        <xdr:cNvPr id="61448" name="Line 2">
          <a:extLst>
            <a:ext uri="{FF2B5EF4-FFF2-40B4-BE49-F238E27FC236}">
              <a16:creationId xmlns:a16="http://schemas.microsoft.com/office/drawing/2014/main" id="{00000000-0008-0000-0400-000008F00000}"/>
            </a:ext>
          </a:extLst>
        </xdr:cNvPr>
        <xdr:cNvSpPr>
          <a:spLocks noChangeShapeType="1"/>
        </xdr:cNvSpPr>
      </xdr:nvSpPr>
      <xdr:spPr bwMode="auto">
        <a:xfrm>
          <a:off x="3790950" y="971550"/>
          <a:ext cx="1885950" cy="2076450"/>
        </a:xfrm>
        <a:prstGeom prst="line">
          <a:avLst/>
        </a:prstGeom>
        <a:noFill/>
        <a:ln w="9525">
          <a:solidFill>
            <a:srgbClr val="000000"/>
          </a:solidFill>
          <a:round/>
          <a:headEnd/>
          <a:tailEnd/>
        </a:ln>
      </xdr:spPr>
    </xdr:sp>
    <xdr:clientData/>
  </xdr:twoCellAnchor>
  <xdr:twoCellAnchor>
    <xdr:from>
      <xdr:col>18</xdr:col>
      <xdr:colOff>9525</xdr:colOff>
      <xdr:row>15</xdr:row>
      <xdr:rowOff>9525</xdr:rowOff>
    </xdr:from>
    <xdr:to>
      <xdr:col>27</xdr:col>
      <xdr:colOff>19050</xdr:colOff>
      <xdr:row>25</xdr:row>
      <xdr:rowOff>0</xdr:rowOff>
    </xdr:to>
    <xdr:sp macro="" textlink="">
      <xdr:nvSpPr>
        <xdr:cNvPr id="61449" name="Line 4">
          <a:extLst>
            <a:ext uri="{FF2B5EF4-FFF2-40B4-BE49-F238E27FC236}">
              <a16:creationId xmlns:a16="http://schemas.microsoft.com/office/drawing/2014/main" id="{00000000-0008-0000-0400-000009F00000}"/>
            </a:ext>
          </a:extLst>
        </xdr:cNvPr>
        <xdr:cNvSpPr>
          <a:spLocks noChangeShapeType="1"/>
        </xdr:cNvSpPr>
      </xdr:nvSpPr>
      <xdr:spPr bwMode="auto">
        <a:xfrm flipH="1">
          <a:off x="3781425" y="3048000"/>
          <a:ext cx="1895475" cy="2085975"/>
        </a:xfrm>
        <a:prstGeom prst="line">
          <a:avLst/>
        </a:prstGeom>
        <a:noFill/>
        <a:ln w="9525">
          <a:solidFill>
            <a:srgbClr val="000000"/>
          </a:solidFill>
          <a:round/>
          <a:headEnd/>
          <a:tailEnd/>
        </a:ln>
      </xdr:spPr>
    </xdr:sp>
    <xdr:clientData/>
  </xdr:twoCellAnchor>
  <xdr:twoCellAnchor>
    <xdr:from>
      <xdr:col>5</xdr:col>
      <xdr:colOff>57150</xdr:colOff>
      <xdr:row>5</xdr:row>
      <xdr:rowOff>57150</xdr:rowOff>
    </xdr:from>
    <xdr:to>
      <xdr:col>14</xdr:col>
      <xdr:colOff>19050</xdr:colOff>
      <xdr:row>15</xdr:row>
      <xdr:rowOff>9525</xdr:rowOff>
    </xdr:to>
    <xdr:sp macro="" textlink="">
      <xdr:nvSpPr>
        <xdr:cNvPr id="61450" name="Line 2">
          <a:extLst>
            <a:ext uri="{FF2B5EF4-FFF2-40B4-BE49-F238E27FC236}">
              <a16:creationId xmlns:a16="http://schemas.microsoft.com/office/drawing/2014/main" id="{00000000-0008-0000-0400-00000AF00000}"/>
            </a:ext>
          </a:extLst>
        </xdr:cNvPr>
        <xdr:cNvSpPr>
          <a:spLocks noChangeShapeType="1"/>
        </xdr:cNvSpPr>
      </xdr:nvSpPr>
      <xdr:spPr bwMode="auto">
        <a:xfrm>
          <a:off x="1104900" y="1000125"/>
          <a:ext cx="1847850" cy="2047875"/>
        </a:xfrm>
        <a:prstGeom prst="line">
          <a:avLst/>
        </a:prstGeom>
        <a:noFill/>
        <a:ln w="9525">
          <a:solidFill>
            <a:srgbClr val="000000"/>
          </a:solidFill>
          <a:round/>
          <a:headEnd/>
          <a:tailEnd/>
        </a:ln>
      </xdr:spPr>
    </xdr:sp>
    <xdr:clientData/>
  </xdr:twoCellAnchor>
  <xdr:twoCellAnchor>
    <xdr:from>
      <xdr:col>5</xdr:col>
      <xdr:colOff>9525</xdr:colOff>
      <xdr:row>15</xdr:row>
      <xdr:rowOff>9525</xdr:rowOff>
    </xdr:from>
    <xdr:to>
      <xdr:col>14</xdr:col>
      <xdr:colOff>19050</xdr:colOff>
      <xdr:row>25</xdr:row>
      <xdr:rowOff>0</xdr:rowOff>
    </xdr:to>
    <xdr:sp macro="" textlink="">
      <xdr:nvSpPr>
        <xdr:cNvPr id="61451" name="Line 4">
          <a:extLst>
            <a:ext uri="{FF2B5EF4-FFF2-40B4-BE49-F238E27FC236}">
              <a16:creationId xmlns:a16="http://schemas.microsoft.com/office/drawing/2014/main" id="{00000000-0008-0000-0400-00000BF00000}"/>
            </a:ext>
          </a:extLst>
        </xdr:cNvPr>
        <xdr:cNvSpPr>
          <a:spLocks noChangeShapeType="1"/>
        </xdr:cNvSpPr>
      </xdr:nvSpPr>
      <xdr:spPr bwMode="auto">
        <a:xfrm flipH="1">
          <a:off x="1057275" y="3048000"/>
          <a:ext cx="1895475" cy="2085975"/>
        </a:xfrm>
        <a:prstGeom prst="line">
          <a:avLst/>
        </a:prstGeom>
        <a:noFill/>
        <a:ln w="9525">
          <a:solidFill>
            <a:srgbClr val="000000"/>
          </a:solidFill>
          <a:round/>
          <a:headEnd/>
          <a:tailEnd/>
        </a:ln>
      </xdr:spPr>
    </xdr:sp>
    <xdr:clientData/>
  </xdr:twoCellAnchor>
  <xdr:twoCellAnchor>
    <xdr:from>
      <xdr:col>1</xdr:col>
      <xdr:colOff>114300</xdr:colOff>
      <xdr:row>25</xdr:row>
      <xdr:rowOff>0</xdr:rowOff>
    </xdr:from>
    <xdr:to>
      <xdr:col>8</xdr:col>
      <xdr:colOff>66675</xdr:colOff>
      <xdr:row>26</xdr:row>
      <xdr:rowOff>66675</xdr:rowOff>
    </xdr:to>
    <xdr:sp macro="" textlink="">
      <xdr:nvSpPr>
        <xdr:cNvPr id="60431" name="Rectangle 11">
          <a:extLst>
            <a:ext uri="{FF2B5EF4-FFF2-40B4-BE49-F238E27FC236}">
              <a16:creationId xmlns:a16="http://schemas.microsoft.com/office/drawing/2014/main" id="{00000000-0008-0000-0400-00000FEC0000}"/>
            </a:ext>
          </a:extLst>
        </xdr:cNvPr>
        <xdr:cNvSpPr>
          <a:spLocks noChangeArrowheads="1"/>
        </xdr:cNvSpPr>
      </xdr:nvSpPr>
      <xdr:spPr bwMode="auto">
        <a:xfrm>
          <a:off x="323850" y="5133975"/>
          <a:ext cx="1419225" cy="27622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MOLDE</a:t>
          </a:r>
          <a:endParaRPr lang="en-GB"/>
        </a:p>
      </xdr:txBody>
    </xdr:sp>
    <xdr:clientData/>
  </xdr:twoCellAnchor>
  <xdr:twoCellAnchor>
    <xdr:from>
      <xdr:col>1</xdr:col>
      <xdr:colOff>104775</xdr:colOff>
      <xdr:row>14</xdr:row>
      <xdr:rowOff>19050</xdr:rowOff>
    </xdr:from>
    <xdr:to>
      <xdr:col>9</xdr:col>
      <xdr:colOff>9525</xdr:colOff>
      <xdr:row>16</xdr:row>
      <xdr:rowOff>9525</xdr:rowOff>
    </xdr:to>
    <xdr:sp macro="" textlink="">
      <xdr:nvSpPr>
        <xdr:cNvPr id="60432" name="Rectangle 6">
          <a:extLst>
            <a:ext uri="{FF2B5EF4-FFF2-40B4-BE49-F238E27FC236}">
              <a16:creationId xmlns:a16="http://schemas.microsoft.com/office/drawing/2014/main" id="{00000000-0008-0000-0400-000010EC0000}"/>
            </a:ext>
          </a:extLst>
        </xdr:cNvPr>
        <xdr:cNvSpPr>
          <a:spLocks noChangeArrowheads="1"/>
        </xdr:cNvSpPr>
      </xdr:nvSpPr>
      <xdr:spPr bwMode="auto">
        <a:xfrm>
          <a:off x="314325" y="2847975"/>
          <a:ext cx="1581150" cy="409575"/>
        </a:xfrm>
        <a:prstGeom prst="rect">
          <a:avLst/>
        </a:prstGeom>
        <a:solidFill>
          <a:srgbClr val="C0C0C0"/>
        </a:solidFill>
        <a:ln w="9525">
          <a:solidFill>
            <a:srgbClr val="000000"/>
          </a:solidFill>
          <a:miter lim="800000"/>
          <a:headEnd/>
          <a:tailEnd/>
        </a:ln>
      </xdr:spPr>
      <xdr:txBody>
        <a:bodyPr vertOverflow="clip" wrap="square" lIns="27432" tIns="22860" rIns="27432" bIns="22860" anchor="ctr"/>
        <a:lstStyle/>
        <a:p>
          <a:pPr algn="ctr" rtl="0">
            <a:defRPr sz="1000"/>
          </a:pPr>
          <a:r>
            <a:rPr lang="en-GB" sz="1000" b="1" i="0" u="none" strike="noStrike" baseline="0">
              <a:solidFill>
                <a:srgbClr val="000000"/>
              </a:solidFill>
              <a:latin typeface="Arial"/>
              <a:cs typeface="Arial"/>
            </a:rPr>
            <a:t>MEDICIÓN</a:t>
          </a:r>
          <a:endParaRPr lang="en-GB"/>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342900</xdr:colOff>
      <xdr:row>1</xdr:row>
      <xdr:rowOff>152400</xdr:rowOff>
    </xdr:from>
    <xdr:to>
      <xdr:col>1</xdr:col>
      <xdr:colOff>1933575</xdr:colOff>
      <xdr:row>1</xdr:row>
      <xdr:rowOff>304800</xdr:rowOff>
    </xdr:to>
    <xdr:sp macro="" textlink="">
      <xdr:nvSpPr>
        <xdr:cNvPr id="62465" name="AutoShape 926">
          <a:extLst>
            <a:ext uri="{FF2B5EF4-FFF2-40B4-BE49-F238E27FC236}">
              <a16:creationId xmlns:a16="http://schemas.microsoft.com/office/drawing/2014/main" id="{00000000-0008-0000-0500-000001F40000}"/>
            </a:ext>
          </a:extLst>
        </xdr:cNvPr>
        <xdr:cNvSpPr>
          <a:spLocks noChangeArrowheads="1"/>
        </xdr:cNvSpPr>
      </xdr:nvSpPr>
      <xdr:spPr bwMode="auto">
        <a:xfrm>
          <a:off x="638175" y="419100"/>
          <a:ext cx="1590675" cy="152400"/>
        </a:xfrm>
        <a:prstGeom prst="rightArrow">
          <a:avLst>
            <a:gd name="adj1" fmla="val 50000"/>
            <a:gd name="adj2" fmla="val 260938"/>
          </a:avLst>
        </a:prstGeom>
        <a:noFill/>
        <a:ln w="28575" algn="ctr">
          <a:solidFill>
            <a:srgbClr val="000000"/>
          </a:solidFill>
          <a:miter lim="800000"/>
          <a:headEnd/>
          <a:tailEnd/>
        </a:ln>
      </xdr:spPr>
    </xdr:sp>
    <xdr:clientData/>
  </xdr:twoCellAnchor>
  <xdr:twoCellAnchor>
    <xdr:from>
      <xdr:col>3</xdr:col>
      <xdr:colOff>409575</xdr:colOff>
      <xdr:row>1</xdr:row>
      <xdr:rowOff>152400</xdr:rowOff>
    </xdr:from>
    <xdr:to>
      <xdr:col>3</xdr:col>
      <xdr:colOff>2000250</xdr:colOff>
      <xdr:row>1</xdr:row>
      <xdr:rowOff>304800</xdr:rowOff>
    </xdr:to>
    <xdr:sp macro="" textlink="">
      <xdr:nvSpPr>
        <xdr:cNvPr id="62466" name="AutoShape 927">
          <a:extLst>
            <a:ext uri="{FF2B5EF4-FFF2-40B4-BE49-F238E27FC236}">
              <a16:creationId xmlns:a16="http://schemas.microsoft.com/office/drawing/2014/main" id="{00000000-0008-0000-0500-000002F40000}"/>
            </a:ext>
          </a:extLst>
        </xdr:cNvPr>
        <xdr:cNvSpPr>
          <a:spLocks noChangeArrowheads="1"/>
        </xdr:cNvSpPr>
      </xdr:nvSpPr>
      <xdr:spPr bwMode="auto">
        <a:xfrm>
          <a:off x="3629025" y="419100"/>
          <a:ext cx="1590675" cy="152400"/>
        </a:xfrm>
        <a:prstGeom prst="rightArrow">
          <a:avLst>
            <a:gd name="adj1" fmla="val 50000"/>
            <a:gd name="adj2" fmla="val 260938"/>
          </a:avLst>
        </a:prstGeom>
        <a:noFill/>
        <a:ln w="28575" algn="ctr">
          <a:solidFill>
            <a:srgbClr val="000000"/>
          </a:solidFill>
          <a:miter lim="800000"/>
          <a:headEnd/>
          <a:tailEnd/>
        </a:ln>
      </xdr:spPr>
    </xdr:sp>
    <xdr:clientData/>
  </xdr:twoCellAnchor>
  <xdr:twoCellAnchor>
    <xdr:from>
      <xdr:col>5</xdr:col>
      <xdr:colOff>419100</xdr:colOff>
      <xdr:row>1</xdr:row>
      <xdr:rowOff>152400</xdr:rowOff>
    </xdr:from>
    <xdr:to>
      <xdr:col>5</xdr:col>
      <xdr:colOff>2009775</xdr:colOff>
      <xdr:row>1</xdr:row>
      <xdr:rowOff>304800</xdr:rowOff>
    </xdr:to>
    <xdr:sp macro="" textlink="">
      <xdr:nvSpPr>
        <xdr:cNvPr id="62467" name="AutoShape 928">
          <a:extLst>
            <a:ext uri="{FF2B5EF4-FFF2-40B4-BE49-F238E27FC236}">
              <a16:creationId xmlns:a16="http://schemas.microsoft.com/office/drawing/2014/main" id="{00000000-0008-0000-0500-000003F40000}"/>
            </a:ext>
          </a:extLst>
        </xdr:cNvPr>
        <xdr:cNvSpPr>
          <a:spLocks noChangeArrowheads="1"/>
        </xdr:cNvSpPr>
      </xdr:nvSpPr>
      <xdr:spPr bwMode="auto">
        <a:xfrm>
          <a:off x="6562725" y="419100"/>
          <a:ext cx="1590675" cy="152400"/>
        </a:xfrm>
        <a:prstGeom prst="rightArrow">
          <a:avLst>
            <a:gd name="adj1" fmla="val 50000"/>
            <a:gd name="adj2" fmla="val 260938"/>
          </a:avLst>
        </a:prstGeom>
        <a:noFill/>
        <a:ln w="28575" algn="ctr">
          <a:solidFill>
            <a:srgbClr val="000000"/>
          </a:solidFill>
          <a:miter lim="800000"/>
          <a:headEnd/>
          <a:tailEnd/>
        </a:ln>
      </xdr:spPr>
    </xdr:sp>
    <xdr:clientData/>
  </xdr:twoCellAnchor>
  <xdr:twoCellAnchor>
    <xdr:from>
      <xdr:col>7</xdr:col>
      <xdr:colOff>323850</xdr:colOff>
      <xdr:row>1</xdr:row>
      <xdr:rowOff>152400</xdr:rowOff>
    </xdr:from>
    <xdr:to>
      <xdr:col>7</xdr:col>
      <xdr:colOff>1914525</xdr:colOff>
      <xdr:row>1</xdr:row>
      <xdr:rowOff>304800</xdr:rowOff>
    </xdr:to>
    <xdr:sp macro="" textlink="">
      <xdr:nvSpPr>
        <xdr:cNvPr id="62468" name="AutoShape 931">
          <a:extLst>
            <a:ext uri="{FF2B5EF4-FFF2-40B4-BE49-F238E27FC236}">
              <a16:creationId xmlns:a16="http://schemas.microsoft.com/office/drawing/2014/main" id="{00000000-0008-0000-0500-000004F40000}"/>
            </a:ext>
          </a:extLst>
        </xdr:cNvPr>
        <xdr:cNvSpPr>
          <a:spLocks noChangeArrowheads="1"/>
        </xdr:cNvSpPr>
      </xdr:nvSpPr>
      <xdr:spPr bwMode="auto">
        <a:xfrm>
          <a:off x="9391650" y="419100"/>
          <a:ext cx="1590675" cy="152400"/>
        </a:xfrm>
        <a:prstGeom prst="rightArrow">
          <a:avLst>
            <a:gd name="adj1" fmla="val 50000"/>
            <a:gd name="adj2" fmla="val 260938"/>
          </a:avLst>
        </a:prstGeom>
        <a:noFill/>
        <a:ln w="28575" algn="ctr">
          <a:solidFill>
            <a:srgbClr val="000000"/>
          </a:solidFill>
          <a:miter lim="800000"/>
          <a:headEnd/>
          <a:tailEnd/>
        </a:ln>
      </xdr:spPr>
    </xdr:sp>
    <xdr:clientData/>
  </xdr:twoCellAnchor>
  <xdr:twoCellAnchor>
    <xdr:from>
      <xdr:col>9</xdr:col>
      <xdr:colOff>352425</xdr:colOff>
      <xdr:row>1</xdr:row>
      <xdr:rowOff>152400</xdr:rowOff>
    </xdr:from>
    <xdr:to>
      <xdr:col>9</xdr:col>
      <xdr:colOff>1943100</xdr:colOff>
      <xdr:row>1</xdr:row>
      <xdr:rowOff>304800</xdr:rowOff>
    </xdr:to>
    <xdr:sp macro="" textlink="">
      <xdr:nvSpPr>
        <xdr:cNvPr id="62469" name="AutoShape 932">
          <a:extLst>
            <a:ext uri="{FF2B5EF4-FFF2-40B4-BE49-F238E27FC236}">
              <a16:creationId xmlns:a16="http://schemas.microsoft.com/office/drawing/2014/main" id="{00000000-0008-0000-0500-000005F40000}"/>
            </a:ext>
          </a:extLst>
        </xdr:cNvPr>
        <xdr:cNvSpPr>
          <a:spLocks noChangeArrowheads="1"/>
        </xdr:cNvSpPr>
      </xdr:nvSpPr>
      <xdr:spPr bwMode="auto">
        <a:xfrm>
          <a:off x="12344400" y="419100"/>
          <a:ext cx="1590675" cy="152400"/>
        </a:xfrm>
        <a:prstGeom prst="rightArrow">
          <a:avLst>
            <a:gd name="adj1" fmla="val 50000"/>
            <a:gd name="adj2" fmla="val 260938"/>
          </a:avLst>
        </a:prstGeom>
        <a:noFill/>
        <a:ln w="28575" algn="ctr">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31047</xdr:colOff>
      <xdr:row>57</xdr:row>
      <xdr:rowOff>259167</xdr:rowOff>
    </xdr:from>
    <xdr:ext cx="2497543" cy="937629"/>
    <xdr:sp macro="" textlink="">
      <xdr:nvSpPr>
        <xdr:cNvPr id="2" name="Rectangle 1">
          <a:extLst>
            <a:ext uri="{FF2B5EF4-FFF2-40B4-BE49-F238E27FC236}">
              <a16:creationId xmlns:a16="http://schemas.microsoft.com/office/drawing/2014/main" id="{00000000-0008-0000-0800-000002000000}"/>
            </a:ext>
          </a:extLst>
        </xdr:cNvPr>
        <xdr:cNvSpPr/>
      </xdr:nvSpPr>
      <xdr:spPr>
        <a:xfrm>
          <a:off x="5600371" y="42897549"/>
          <a:ext cx="2497543" cy="937629"/>
        </a:xfrm>
        <a:prstGeom prst="rect">
          <a:avLst/>
        </a:prstGeom>
        <a:noFill/>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54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German</a:t>
          </a:r>
        </a:p>
      </xdr:txBody>
    </xdr:sp>
    <xdr:clientData/>
  </xdr:oneCellAnchor>
  <xdr:oneCellAnchor>
    <xdr:from>
      <xdr:col>9</xdr:col>
      <xdr:colOff>205435</xdr:colOff>
      <xdr:row>93</xdr:row>
      <xdr:rowOff>0</xdr:rowOff>
    </xdr:from>
    <xdr:ext cx="2210541" cy="937629"/>
    <xdr:sp macro="" textlink="">
      <xdr:nvSpPr>
        <xdr:cNvPr id="3" name="Rectangle 2">
          <a:extLst>
            <a:ext uri="{FF2B5EF4-FFF2-40B4-BE49-F238E27FC236}">
              <a16:creationId xmlns:a16="http://schemas.microsoft.com/office/drawing/2014/main" id="{00000000-0008-0000-0800-000003000000}"/>
            </a:ext>
          </a:extLst>
        </xdr:cNvPr>
        <xdr:cNvSpPr/>
      </xdr:nvSpPr>
      <xdr:spPr>
        <a:xfrm>
          <a:off x="6536759" y="53777029"/>
          <a:ext cx="2210541" cy="937629"/>
        </a:xfrm>
        <a:prstGeom prst="rect">
          <a:avLst/>
        </a:prstGeom>
        <a:noFill/>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54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English</a:t>
          </a:r>
        </a:p>
      </xdr:txBody>
    </xdr:sp>
    <xdr:clientData/>
  </xdr:oneCellAnchor>
  <xdr:oneCellAnchor>
    <xdr:from>
      <xdr:col>9</xdr:col>
      <xdr:colOff>170329</xdr:colOff>
      <xdr:row>125</xdr:row>
      <xdr:rowOff>0</xdr:rowOff>
    </xdr:from>
    <xdr:ext cx="2031582" cy="937629"/>
    <xdr:sp macro="" textlink="">
      <xdr:nvSpPr>
        <xdr:cNvPr id="4" name="Rectangle 3">
          <a:extLst>
            <a:ext uri="{FF2B5EF4-FFF2-40B4-BE49-F238E27FC236}">
              <a16:creationId xmlns:a16="http://schemas.microsoft.com/office/drawing/2014/main" id="{00000000-0008-0000-0800-000004000000}"/>
            </a:ext>
          </a:extLst>
        </xdr:cNvPr>
        <xdr:cNvSpPr/>
      </xdr:nvSpPr>
      <xdr:spPr>
        <a:xfrm>
          <a:off x="6501653" y="61475471"/>
          <a:ext cx="2031582" cy="937629"/>
        </a:xfrm>
        <a:prstGeom prst="rect">
          <a:avLst/>
        </a:prstGeom>
        <a:noFill/>
      </xdr:spPr>
      <xdr:txBody>
        <a:bodyPr wrap="none" lIns="91440" tIns="45720" rIns="91440" bIns="45720">
          <a:spAutoFit/>
          <a:scene3d>
            <a:camera prst="orthographicFront"/>
            <a:lightRig rig="glow" dir="tl">
              <a:rot lat="0" lon="0" rev="5400000"/>
            </a:lightRig>
          </a:scene3d>
          <a:sp3d contourW="12700">
            <a:bevelT w="25400" h="25400"/>
            <a:contourClr>
              <a:schemeClr val="accent6">
                <a:shade val="73000"/>
              </a:schemeClr>
            </a:contourClr>
          </a:sp3d>
        </a:bodyPr>
        <a:lstStyle/>
        <a:p>
          <a:pPr algn="ctr"/>
          <a:r>
            <a:rPr lang="en-US" sz="5400" b="1" cap="none" spc="0">
              <a:ln w="11430"/>
              <a:gradFill>
                <a:gsLst>
                  <a:gs pos="0">
                    <a:schemeClr val="accent6">
                      <a:tint val="90000"/>
                      <a:satMod val="120000"/>
                    </a:schemeClr>
                  </a:gs>
                  <a:gs pos="25000">
                    <a:schemeClr val="accent6">
                      <a:tint val="93000"/>
                      <a:satMod val="120000"/>
                    </a:schemeClr>
                  </a:gs>
                  <a:gs pos="50000">
                    <a:schemeClr val="accent6">
                      <a:shade val="89000"/>
                      <a:satMod val="110000"/>
                    </a:schemeClr>
                  </a:gs>
                  <a:gs pos="75000">
                    <a:schemeClr val="accent6">
                      <a:tint val="93000"/>
                      <a:satMod val="120000"/>
                    </a:schemeClr>
                  </a:gs>
                  <a:gs pos="100000">
                    <a:schemeClr val="accent6">
                      <a:tint val="90000"/>
                      <a:satMod val="120000"/>
                    </a:schemeClr>
                  </a:gs>
                </a:gsLst>
                <a:lin ang="5400000"/>
              </a:gradFill>
              <a:effectLst>
                <a:outerShdw blurRad="80000" dist="40000" dir="5040000" algn="tl">
                  <a:srgbClr val="000000">
                    <a:alpha val="30000"/>
                  </a:srgbClr>
                </a:outerShdw>
              </a:effectLst>
            </a:rPr>
            <a:t>french</a:t>
          </a: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5</xdr:col>
      <xdr:colOff>142875</xdr:colOff>
      <xdr:row>0</xdr:row>
      <xdr:rowOff>0</xdr:rowOff>
    </xdr:from>
    <xdr:to>
      <xdr:col>7</xdr:col>
      <xdr:colOff>47625</xdr:colOff>
      <xdr:row>0</xdr:row>
      <xdr:rowOff>0</xdr:rowOff>
    </xdr:to>
    <xdr:sp macro="[0]!Macro6" textlink="">
      <xdr:nvSpPr>
        <xdr:cNvPr id="32858" name="Text Box 90">
          <a:extLst>
            <a:ext uri="{FF2B5EF4-FFF2-40B4-BE49-F238E27FC236}">
              <a16:creationId xmlns:a16="http://schemas.microsoft.com/office/drawing/2014/main" id="{00000000-0008-0000-0A00-00005A800000}"/>
            </a:ext>
          </a:extLst>
        </xdr:cNvPr>
        <xdr:cNvSpPr txBox="1">
          <a:spLocks noChangeArrowheads="1"/>
        </xdr:cNvSpPr>
      </xdr:nvSpPr>
      <xdr:spPr bwMode="auto">
        <a:xfrm>
          <a:off x="8667750" y="0"/>
          <a:ext cx="876300" cy="0"/>
        </a:xfrm>
        <a:prstGeom prst="rect">
          <a:avLst/>
        </a:prstGeom>
        <a:solidFill>
          <a:srgbClr val="339966"/>
        </a:soli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a:cs typeface="Arial"/>
            </a:rPr>
            <a:t>Explanation</a:t>
          </a:r>
          <a:endParaRPr lang="en-GB"/>
        </a:p>
      </xdr:txBody>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28575" cap="flat" cmpd="sng" algn="ctr">
          <a:solidFill>
            <a:srgbClr val="0A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noFill/>
        <a:ln w="28575" cap="flat" cmpd="sng" algn="ctr">
          <a:solidFill>
            <a:srgbClr val="0A0000"/>
          </a:solidFill>
          <a:prstDash val="solid"/>
          <a:round/>
          <a:headEnd type="none" w="med" len="med"/>
          <a:tailEnd type="none" w="med" len="med"/>
        </a:ln>
        <a:effectLst/>
        <a:extLst>
          <a:ext uri="{909E8E84-426E-40DD-AFC4-6F175D3DCCD1}">
            <a14:hiddenFill xmlns:a14="http://schemas.microsoft.com/office/drawing/2010/main">
              <a:solidFill>
                <a:srgbClr xmlns:mc="http://schemas.openxmlformats.org/markup-compatibility/2006" val="410000" mc:Ignorable="a14" a14:legacySpreadsheetColorIndex="65"/>
              </a:solidFill>
            </a14:hiddenFill>
          </a:ex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omments" Target="../comments1.xml"/><Relationship Id="rId21" Type="http://schemas.openxmlformats.org/officeDocument/2006/relationships/ctrlProp" Target="../ctrlProps/ctrlProp17.xml"/><Relationship Id="rId34" Type="http://schemas.openxmlformats.org/officeDocument/2006/relationships/ctrlProp" Target="../ctrlProps/ctrlProp30.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2" Type="http://schemas.openxmlformats.org/officeDocument/2006/relationships/drawing" Target="../drawings/drawing1.xml"/><Relationship Id="rId16" Type="http://schemas.openxmlformats.org/officeDocument/2006/relationships/ctrlProp" Target="../ctrlProps/ctrlProp12.xml"/><Relationship Id="rId20" Type="http://schemas.openxmlformats.org/officeDocument/2006/relationships/ctrlProp" Target="../ctrlProps/ctrlProp16.xml"/><Relationship Id="rId29" Type="http://schemas.openxmlformats.org/officeDocument/2006/relationships/ctrlProp" Target="../ctrlProps/ctrlProp25.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8" Type="http://schemas.openxmlformats.org/officeDocument/2006/relationships/ctrlProp" Target="../ctrlProps/ctrlProp4.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8">
    <tabColor indexed="11"/>
    <pageSetUpPr fitToPage="1"/>
  </sheetPr>
  <dimension ref="A1:AG234"/>
  <sheetViews>
    <sheetView showGridLines="0" tabSelected="1" zoomScale="55" zoomScaleNormal="55" zoomScaleSheetLayoutView="55" workbookViewId="0">
      <selection activeCell="D4" sqref="D4:D5"/>
    </sheetView>
  </sheetViews>
  <sheetFormatPr baseColWidth="10" defaultColWidth="11.42578125" defaultRowHeight="12"/>
  <cols>
    <col min="1" max="1" width="2.85546875" style="204" customWidth="1"/>
    <col min="2" max="2" width="5.7109375" style="204" customWidth="1"/>
    <col min="3" max="3" width="32.85546875" style="204" customWidth="1"/>
    <col min="4" max="4" width="25" style="204" customWidth="1"/>
    <col min="5" max="6" width="12.140625" style="204" customWidth="1"/>
    <col min="7" max="7" width="23.140625" style="204" customWidth="1"/>
    <col min="8" max="8" width="24.28515625" style="204" customWidth="1"/>
    <col min="9" max="9" width="22.28515625" style="204" customWidth="1"/>
    <col min="10" max="10" width="18.85546875" style="204" customWidth="1"/>
    <col min="11" max="11" width="1.7109375" style="204" customWidth="1"/>
    <col min="12" max="12" width="7.5703125" style="204" customWidth="1"/>
    <col min="13" max="13" width="23.140625" style="204" customWidth="1"/>
    <col min="14" max="14" width="28.140625" style="204" customWidth="1"/>
    <col min="15" max="15" width="27.42578125" style="204" customWidth="1"/>
    <col min="16" max="16" width="29.42578125" style="204" customWidth="1"/>
    <col min="17" max="17" width="1.7109375" style="204" customWidth="1"/>
    <col min="18" max="18" width="5.85546875" style="204" customWidth="1"/>
    <col min="19" max="19" width="15.42578125" style="219" customWidth="1"/>
    <col min="20" max="20" width="80.140625" style="219" customWidth="1"/>
    <col min="21" max="22" width="15.7109375" style="219" customWidth="1"/>
    <col min="23" max="23" width="15.85546875" style="219" customWidth="1"/>
    <col min="24" max="24" width="2.85546875" style="204" customWidth="1"/>
    <col min="25" max="26" width="11.42578125" style="204" customWidth="1"/>
    <col min="27" max="27" width="0.28515625" style="204" customWidth="1"/>
    <col min="28" max="28" width="4.42578125" style="204" customWidth="1"/>
    <col min="29" max="32" width="11.42578125" style="204" customWidth="1"/>
    <col min="33" max="33" width="12.42578125" style="204" customWidth="1"/>
    <col min="34" max="16384" width="11.42578125" style="204"/>
  </cols>
  <sheetData>
    <row r="1" spans="1:30" ht="86.25" customHeight="1" thickBot="1">
      <c r="A1" s="201"/>
      <c r="B1" s="202"/>
      <c r="C1" s="202"/>
      <c r="D1" s="202"/>
      <c r="E1" s="202"/>
      <c r="F1" s="202"/>
      <c r="G1" s="202"/>
      <c r="H1" s="202"/>
      <c r="I1" s="202"/>
      <c r="J1" s="202"/>
      <c r="K1" s="202"/>
      <c r="L1" s="202"/>
      <c r="M1" s="202"/>
      <c r="N1" s="202"/>
      <c r="O1" s="202"/>
      <c r="P1" s="202"/>
      <c r="Q1" s="202"/>
      <c r="R1" s="202"/>
      <c r="S1" s="202"/>
      <c r="T1" s="202"/>
      <c r="U1" s="202"/>
      <c r="V1" s="202"/>
      <c r="W1" s="202"/>
      <c r="X1" s="203"/>
      <c r="Z1" s="205"/>
      <c r="AA1" s="205"/>
      <c r="AB1" s="205"/>
    </row>
    <row r="2" spans="1:30" ht="81.75" customHeight="1" thickBot="1">
      <c r="A2" s="206"/>
      <c r="B2" s="257">
        <v>2</v>
      </c>
      <c r="C2" s="611" t="str">
        <f>transl8!C2</f>
        <v>D1 - Descripción del PROBLEMA: 5W+2H detección/ocurrencia</v>
      </c>
      <c r="D2" s="611"/>
      <c r="E2" s="611"/>
      <c r="F2" s="611"/>
      <c r="G2" s="611"/>
      <c r="H2" s="611"/>
      <c r="I2" s="611"/>
      <c r="J2" s="612"/>
      <c r="K2" s="209"/>
      <c r="L2" s="257">
        <v>0</v>
      </c>
      <c r="M2" s="611" t="str">
        <f>transl8!M2</f>
        <v>D4 - Causas Raíz de No-Detección</v>
      </c>
      <c r="N2" s="613">
        <f>transl8!N2</f>
        <v>0</v>
      </c>
      <c r="O2" s="613">
        <f>transl8!O2</f>
        <v>0</v>
      </c>
      <c r="P2" s="614">
        <f>transl8!P2</f>
        <v>0</v>
      </c>
      <c r="Q2" s="209"/>
      <c r="R2" s="259">
        <v>0</v>
      </c>
      <c r="S2" s="600" t="str">
        <f>transl8!S2</f>
        <v>D6 -Acciones permanentes</v>
      </c>
      <c r="T2" s="600">
        <f>transl8!T2</f>
        <v>0</v>
      </c>
      <c r="U2" s="600">
        <f>transl8!U2</f>
        <v>0</v>
      </c>
      <c r="V2" s="600">
        <f>transl8!V2</f>
        <v>0</v>
      </c>
      <c r="W2" s="601">
        <f>transl8!W2</f>
        <v>0</v>
      </c>
      <c r="X2" s="210"/>
      <c r="Y2" s="211"/>
    </row>
    <row r="3" spans="1:30" ht="37.5" customHeight="1" thickBot="1">
      <c r="A3" s="206"/>
      <c r="B3" s="608" t="str">
        <f>transl8!B3</f>
        <v>Reclamación no aceptada (Por qué?)</v>
      </c>
      <c r="C3" s="609"/>
      <c r="D3" s="609"/>
      <c r="E3" s="609"/>
      <c r="F3" s="609"/>
      <c r="G3" s="609"/>
      <c r="H3" s="609"/>
      <c r="I3" s="609"/>
      <c r="J3" s="610"/>
      <c r="K3" s="209"/>
      <c r="L3" s="679"/>
      <c r="M3" s="680"/>
      <c r="N3" s="680"/>
      <c r="O3" s="680"/>
      <c r="P3" s="681"/>
      <c r="Q3" s="209"/>
      <c r="R3" s="675" t="str">
        <f>transl8!R3</f>
        <v>Causa Raíz</v>
      </c>
      <c r="S3" s="676">
        <f>transl8!S3</f>
        <v>0</v>
      </c>
      <c r="T3" s="606" t="str">
        <f>transl8!T3</f>
        <v>Acción Correctiva</v>
      </c>
      <c r="U3" s="606" t="str">
        <f>transl8!U3</f>
        <v>Piloto</v>
      </c>
      <c r="V3" s="606" t="str">
        <f>transl8!V3</f>
        <v>Fecha límite</v>
      </c>
      <c r="W3" s="615" t="str">
        <f>transl8!W3</f>
        <v>Grado implementación</v>
      </c>
      <c r="X3" s="210"/>
      <c r="Y3" s="211"/>
    </row>
    <row r="4" spans="1:30" s="215" customFormat="1" ht="40.5" customHeight="1">
      <c r="A4" s="212"/>
      <c r="B4" s="602" t="str">
        <f>transl8!B4</f>
        <v>Planta cliente</v>
      </c>
      <c r="C4" s="603"/>
      <c r="D4" s="668" t="str">
        <f>transl8!D4</f>
        <v>Alerta/
Número de QP/ y categoria de PF</v>
      </c>
      <c r="E4" s="602" t="str">
        <f>transl8!E4</f>
        <v>Producto / 
Referencia</v>
      </c>
      <c r="F4" s="668"/>
      <c r="G4" s="602" t="str">
        <f>transl8!G4</f>
        <v>Descripción de la pieza</v>
      </c>
      <c r="H4" s="668"/>
      <c r="I4" s="602" t="str">
        <f>transl8!I4</f>
        <v>Fecha:</v>
      </c>
      <c r="J4" s="603"/>
      <c r="K4" s="213"/>
      <c r="L4" s="682"/>
      <c r="M4" s="683"/>
      <c r="N4" s="683"/>
      <c r="O4" s="683"/>
      <c r="P4" s="684"/>
      <c r="Q4" s="213"/>
      <c r="R4" s="677">
        <f>transl8!R4</f>
        <v>0</v>
      </c>
      <c r="S4" s="678">
        <f>transl8!S4</f>
        <v>0</v>
      </c>
      <c r="T4" s="607">
        <f>transl8!T4</f>
        <v>0</v>
      </c>
      <c r="U4" s="607">
        <f>transl8!U4</f>
        <v>0</v>
      </c>
      <c r="V4" s="607">
        <f>transl8!V4</f>
        <v>0</v>
      </c>
      <c r="W4" s="616">
        <f>transl8!W4</f>
        <v>0</v>
      </c>
      <c r="X4" s="214"/>
      <c r="Y4" s="211"/>
    </row>
    <row r="5" spans="1:30" s="215" customFormat="1" ht="33.75" customHeight="1" thickBot="1">
      <c r="A5" s="212"/>
      <c r="B5" s="604"/>
      <c r="C5" s="605"/>
      <c r="D5" s="669"/>
      <c r="E5" s="604"/>
      <c r="F5" s="669"/>
      <c r="G5" s="604"/>
      <c r="H5" s="669"/>
      <c r="I5" s="604"/>
      <c r="J5" s="605"/>
      <c r="K5" s="213"/>
      <c r="L5" s="682"/>
      <c r="M5" s="683"/>
      <c r="N5" s="683"/>
      <c r="O5" s="683"/>
      <c r="P5" s="684"/>
      <c r="Q5" s="213"/>
      <c r="R5" s="677">
        <f>transl8!R5</f>
        <v>0</v>
      </c>
      <c r="S5" s="678">
        <f>transl8!S5</f>
        <v>0</v>
      </c>
      <c r="T5" s="607">
        <f>transl8!T5</f>
        <v>0</v>
      </c>
      <c r="U5" s="607">
        <f>transl8!U5</f>
        <v>0</v>
      </c>
      <c r="V5" s="607">
        <f>transl8!V5</f>
        <v>0</v>
      </c>
      <c r="W5" s="616">
        <f>transl8!W5</f>
        <v>0</v>
      </c>
      <c r="X5" s="214"/>
      <c r="Y5" s="211"/>
    </row>
    <row r="6" spans="1:30" s="215" customFormat="1" ht="45" customHeight="1" thickBot="1">
      <c r="A6" s="212"/>
      <c r="B6" s="666"/>
      <c r="C6" s="667"/>
      <c r="D6" s="516"/>
      <c r="E6" s="670"/>
      <c r="F6" s="667"/>
      <c r="G6" s="670"/>
      <c r="H6" s="667"/>
      <c r="I6" s="671"/>
      <c r="J6" s="672"/>
      <c r="K6" s="213"/>
      <c r="L6" s="682"/>
      <c r="M6" s="683"/>
      <c r="N6" s="683"/>
      <c r="O6" s="683"/>
      <c r="P6" s="684"/>
      <c r="Q6" s="213"/>
      <c r="R6" s="617"/>
      <c r="S6" s="618"/>
      <c r="T6" s="590"/>
      <c r="U6" s="592"/>
      <c r="V6" s="588"/>
      <c r="W6" s="594"/>
      <c r="X6" s="214"/>
      <c r="Y6" s="211"/>
    </row>
    <row r="7" spans="1:30" ht="55.5" customHeight="1" thickBot="1">
      <c r="A7" s="206"/>
      <c r="B7" s="673" t="str">
        <f>transl8!B7</f>
        <v>Qué? Descripción del Problema / Dibujo / Foto del defecto (piezas NOK/OK)</v>
      </c>
      <c r="C7" s="674"/>
      <c r="D7" s="596"/>
      <c r="E7" s="561"/>
      <c r="F7" s="597"/>
      <c r="G7" s="602" t="str">
        <f>transl8!G7</f>
        <v>Por qué  es un problema?</v>
      </c>
      <c r="H7" s="688"/>
      <c r="I7" s="689"/>
      <c r="J7" s="690"/>
      <c r="K7" s="209"/>
      <c r="L7" s="682"/>
      <c r="M7" s="683"/>
      <c r="N7" s="683"/>
      <c r="O7" s="683"/>
      <c r="P7" s="684"/>
      <c r="Q7" s="209"/>
      <c r="R7" s="617"/>
      <c r="S7" s="618"/>
      <c r="T7" s="591"/>
      <c r="U7" s="593"/>
      <c r="V7" s="589"/>
      <c r="W7" s="595"/>
      <c r="X7" s="210"/>
      <c r="Y7" s="216" t="s">
        <v>319</v>
      </c>
    </row>
    <row r="8" spans="1:30" ht="54.75" customHeight="1" thickBot="1">
      <c r="A8" s="206"/>
      <c r="B8" s="704"/>
      <c r="C8" s="705"/>
      <c r="D8" s="705"/>
      <c r="E8" s="705"/>
      <c r="F8" s="706"/>
      <c r="G8" s="602" t="str">
        <f>transl8!G8</f>
        <v>Dónde  fue detectado?</v>
      </c>
      <c r="H8" s="688"/>
      <c r="I8" s="713"/>
      <c r="J8" s="714"/>
      <c r="K8" s="209"/>
      <c r="L8" s="682"/>
      <c r="M8" s="683"/>
      <c r="N8" s="683"/>
      <c r="O8" s="683"/>
      <c r="P8" s="684"/>
      <c r="Q8" s="209"/>
      <c r="R8" s="617"/>
      <c r="S8" s="618"/>
      <c r="T8" s="590"/>
      <c r="U8" s="592"/>
      <c r="V8" s="588"/>
      <c r="W8" s="594"/>
      <c r="X8" s="210"/>
      <c r="Y8" s="216" t="s">
        <v>320</v>
      </c>
    </row>
    <row r="9" spans="1:30" ht="54.75" customHeight="1" thickBot="1">
      <c r="A9" s="206"/>
      <c r="B9" s="707"/>
      <c r="C9" s="708"/>
      <c r="D9" s="708"/>
      <c r="E9" s="708"/>
      <c r="F9" s="709"/>
      <c r="G9" s="602" t="str">
        <f>transl8!G9</f>
        <v>Cuándo fue detectado?</v>
      </c>
      <c r="H9" s="688"/>
      <c r="I9" s="586"/>
      <c r="J9" s="587"/>
      <c r="K9" s="209"/>
      <c r="L9" s="682"/>
      <c r="M9" s="683"/>
      <c r="N9" s="683"/>
      <c r="O9" s="683"/>
      <c r="P9" s="684"/>
      <c r="Q9" s="209"/>
      <c r="R9" s="617"/>
      <c r="S9" s="618"/>
      <c r="T9" s="591"/>
      <c r="U9" s="593"/>
      <c r="V9" s="589"/>
      <c r="W9" s="595"/>
      <c r="X9" s="210"/>
      <c r="Y9" s="216" t="s">
        <v>321</v>
      </c>
    </row>
    <row r="10" spans="1:30" ht="54.75" customHeight="1" thickBot="1">
      <c r="A10" s="206"/>
      <c r="B10" s="707"/>
      <c r="C10" s="708"/>
      <c r="D10" s="708"/>
      <c r="E10" s="708"/>
      <c r="F10" s="709"/>
      <c r="G10" s="602" t="str">
        <f>transl8!G10</f>
        <v>Quién lo ha detectado ?</v>
      </c>
      <c r="H10" s="688"/>
      <c r="I10" s="713"/>
      <c r="J10" s="714"/>
      <c r="K10" s="209"/>
      <c r="L10" s="685"/>
      <c r="M10" s="686"/>
      <c r="N10" s="686"/>
      <c r="O10" s="686"/>
      <c r="P10" s="687"/>
      <c r="Q10" s="209"/>
      <c r="R10" s="617"/>
      <c r="S10" s="618"/>
      <c r="T10" s="590"/>
      <c r="U10" s="592"/>
      <c r="V10" s="588"/>
      <c r="W10" s="594"/>
      <c r="X10" s="210"/>
      <c r="Y10" s="216" t="s">
        <v>322</v>
      </c>
    </row>
    <row r="11" spans="1:30" ht="54.75" customHeight="1" thickBot="1">
      <c r="A11" s="206"/>
      <c r="B11" s="707"/>
      <c r="C11" s="708"/>
      <c r="D11" s="708"/>
      <c r="E11" s="708"/>
      <c r="F11" s="709"/>
      <c r="G11" s="602" t="str">
        <f>transl8!G11</f>
        <v>Cómo fue detectado y creado?</v>
      </c>
      <c r="H11" s="688"/>
      <c r="I11" s="713"/>
      <c r="J11" s="714"/>
      <c r="K11" s="209"/>
      <c r="L11" s="217" t="str">
        <f>transl8!L11</f>
        <v>Det 1</v>
      </c>
      <c r="M11" s="583" t="str">
        <f>IF('5WHY'!J3=0,"", '5WHY'!J3)</f>
        <v>human failure</v>
      </c>
      <c r="N11" s="584"/>
      <c r="O11" s="584"/>
      <c r="P11" s="585"/>
      <c r="Q11" s="209"/>
      <c r="R11" s="617"/>
      <c r="S11" s="618"/>
      <c r="T11" s="591"/>
      <c r="U11" s="593"/>
      <c r="V11" s="589"/>
      <c r="W11" s="595"/>
      <c r="X11" s="210"/>
      <c r="Y11" s="211"/>
    </row>
    <row r="12" spans="1:30" ht="54.75" customHeight="1" thickBot="1">
      <c r="A12" s="206"/>
      <c r="B12" s="707"/>
      <c r="C12" s="708"/>
      <c r="D12" s="708"/>
      <c r="E12" s="708"/>
      <c r="F12" s="709"/>
      <c r="G12" s="602" t="str">
        <f>transl8!G12</f>
        <v>Cuántos piezas estan con el problema?</v>
      </c>
      <c r="H12" s="688"/>
      <c r="I12" s="717"/>
      <c r="J12" s="718"/>
      <c r="K12" s="209"/>
      <c r="L12" s="217" t="str">
        <f>transl8!L12</f>
        <v>Det 2</v>
      </c>
      <c r="M12" s="583" t="str">
        <f>IF('5WHY'!J5&lt;&gt;"",'5WHY'!J5,"")</f>
        <v/>
      </c>
      <c r="N12" s="584"/>
      <c r="O12" s="584"/>
      <c r="P12" s="585"/>
      <c r="Q12" s="209"/>
      <c r="R12" s="617"/>
      <c r="S12" s="618"/>
      <c r="T12" s="590"/>
      <c r="U12" s="592"/>
      <c r="V12" s="588"/>
      <c r="W12" s="594"/>
      <c r="X12" s="210"/>
    </row>
    <row r="13" spans="1:30" ht="54.75" customHeight="1" thickBot="1">
      <c r="A13" s="206"/>
      <c r="B13" s="707"/>
      <c r="C13" s="708"/>
      <c r="D13" s="708"/>
      <c r="E13" s="708"/>
      <c r="F13" s="709"/>
      <c r="G13" s="602" t="str">
        <f>transl8!G13</f>
        <v>Problema repetitivo</v>
      </c>
      <c r="H13" s="688"/>
      <c r="I13" s="598" t="str">
        <f>transl8!I13</f>
        <v>S/R relevant</v>
      </c>
      <c r="J13" s="691"/>
      <c r="K13" s="218"/>
      <c r="L13" s="217" t="str">
        <f>transl8!L13</f>
        <v>Det 3</v>
      </c>
      <c r="M13" s="583" t="str">
        <f>IF('5WHY'!J7&lt;&gt;"",'5WHY'!J7,"")</f>
        <v/>
      </c>
      <c r="N13" s="584"/>
      <c r="O13" s="584"/>
      <c r="P13" s="585"/>
      <c r="Q13" s="209"/>
      <c r="R13" s="617"/>
      <c r="S13" s="618"/>
      <c r="T13" s="591"/>
      <c r="U13" s="593"/>
      <c r="V13" s="589"/>
      <c r="W13" s="595"/>
      <c r="X13" s="210"/>
    </row>
    <row r="14" spans="1:30" ht="54.75" customHeight="1" thickBot="1">
      <c r="A14" s="206"/>
      <c r="B14" s="710"/>
      <c r="C14" s="711"/>
      <c r="D14" s="711"/>
      <c r="E14" s="711"/>
      <c r="F14" s="712"/>
      <c r="G14" s="279" t="str">
        <f>transl8!G14</f>
        <v>Serie</v>
      </c>
      <c r="H14" s="279" t="str">
        <f>transl8!H14</f>
        <v>Garantía</v>
      </c>
      <c r="I14" s="279" t="str">
        <f>transl8!I14</f>
        <v>Programa</v>
      </c>
      <c r="J14" s="280" t="str">
        <f>transl8!J14</f>
        <v>Logística</v>
      </c>
      <c r="K14" s="218"/>
      <c r="L14" s="217" t="str">
        <f>transl8!L14</f>
        <v>Det 4</v>
      </c>
      <c r="M14" s="632" t="str">
        <f>IF('5WHY'!J9&lt;&gt;"",'5WHY'!J9,"")</f>
        <v/>
      </c>
      <c r="N14" s="632"/>
      <c r="O14" s="632"/>
      <c r="P14" s="633"/>
      <c r="Q14" s="209"/>
      <c r="R14" s="617"/>
      <c r="S14" s="618"/>
      <c r="T14" s="590"/>
      <c r="U14" s="592"/>
      <c r="V14" s="588"/>
      <c r="W14" s="594"/>
      <c r="X14" s="210"/>
    </row>
    <row r="15" spans="1:30" ht="54.75" customHeight="1" thickBot="1">
      <c r="A15" s="206"/>
      <c r="B15" s="598" t="str">
        <f>transl8!B15</f>
        <v>Fecha de fabricación de la pieza</v>
      </c>
      <c r="C15" s="599"/>
      <c r="D15" s="703"/>
      <c r="E15" s="561"/>
      <c r="F15" s="561"/>
      <c r="G15" s="598" t="str">
        <f>transl8!G15</f>
        <v>Nombre del Proveedor</v>
      </c>
      <c r="H15" s="599"/>
      <c r="I15" s="692"/>
      <c r="J15" s="693"/>
      <c r="K15" s="209"/>
      <c r="L15" s="217" t="str">
        <f>transl8!L15</f>
        <v>Det 5</v>
      </c>
      <c r="M15" s="632" t="str">
        <f>IF('5WHY'!J11&lt;&gt;"",'5WHY'!J11,"")</f>
        <v/>
      </c>
      <c r="N15" s="632"/>
      <c r="O15" s="632"/>
      <c r="P15" s="633"/>
      <c r="Q15" s="209"/>
      <c r="R15" s="722"/>
      <c r="S15" s="723"/>
      <c r="T15" s="648"/>
      <c r="U15" s="631"/>
      <c r="V15" s="630"/>
      <c r="W15" s="649"/>
      <c r="X15" s="210"/>
    </row>
    <row r="16" spans="1:30" s="219" customFormat="1" ht="10.5" customHeight="1" thickBot="1">
      <c r="A16" s="206"/>
      <c r="C16" s="751"/>
      <c r="D16" s="751"/>
      <c r="E16" s="751"/>
      <c r="F16" s="751"/>
      <c r="G16" s="751"/>
      <c r="H16" s="751"/>
      <c r="I16" s="751"/>
      <c r="J16" s="751"/>
      <c r="K16" s="209"/>
      <c r="M16" s="220"/>
      <c r="N16" s="694"/>
      <c r="O16" s="694"/>
      <c r="P16" s="694"/>
      <c r="Q16" s="209"/>
      <c r="R16" s="209"/>
      <c r="X16" s="210"/>
      <c r="AD16" s="221">
        <v>1</v>
      </c>
    </row>
    <row r="17" spans="1:29" ht="60" customHeight="1" thickBot="1">
      <c r="A17" s="206"/>
      <c r="B17" s="257">
        <v>0</v>
      </c>
      <c r="C17" s="611" t="str">
        <f>transl8!C17</f>
        <v>D2 - Riesgos en Productos o Procesos Similares.</v>
      </c>
      <c r="D17" s="698"/>
      <c r="E17" s="698"/>
      <c r="F17" s="698"/>
      <c r="G17" s="698"/>
      <c r="H17" s="698"/>
      <c r="I17" s="698"/>
      <c r="J17" s="699"/>
      <c r="K17" s="222"/>
      <c r="L17" s="257">
        <v>0</v>
      </c>
      <c r="M17" s="611" t="str">
        <f>transl8!M17</f>
        <v>D5 - Causas Raíz de Ocurrencia</v>
      </c>
      <c r="N17" s="634">
        <f>transl8!N17</f>
        <v>0</v>
      </c>
      <c r="O17" s="634">
        <f>transl8!O17</f>
        <v>0</v>
      </c>
      <c r="P17" s="635">
        <f>transl8!P17</f>
        <v>0</v>
      </c>
      <c r="Q17" s="209"/>
      <c r="R17" s="257">
        <v>0</v>
      </c>
      <c r="S17" s="634" t="str">
        <f>transl8!S17</f>
        <v xml:space="preserve">D7 - Efectividad/Tracking </v>
      </c>
      <c r="T17" s="634">
        <f>transl8!T17</f>
        <v>0</v>
      </c>
      <c r="U17" s="634">
        <f>transl8!U17</f>
        <v>0</v>
      </c>
      <c r="V17" s="634">
        <f>transl8!V17</f>
        <v>0</v>
      </c>
      <c r="W17" s="635">
        <f>transl8!W17</f>
        <v>0</v>
      </c>
      <c r="X17" s="210"/>
    </row>
    <row r="18" spans="1:29" ht="60" customHeight="1" thickBot="1">
      <c r="A18" s="206"/>
      <c r="B18" s="752"/>
      <c r="C18" s="753"/>
      <c r="D18" s="753"/>
      <c r="E18" s="753"/>
      <c r="F18" s="753"/>
      <c r="G18" s="753"/>
      <c r="H18" s="753"/>
      <c r="I18" s="753"/>
      <c r="J18" s="754"/>
      <c r="K18" s="223"/>
      <c r="L18" s="650"/>
      <c r="M18" s="651"/>
      <c r="N18" s="651"/>
      <c r="O18" s="651"/>
      <c r="P18" s="652"/>
      <c r="Q18" s="209"/>
      <c r="R18" s="639"/>
      <c r="S18" s="640"/>
      <c r="T18" s="640"/>
      <c r="U18" s="640"/>
      <c r="V18" s="640"/>
      <c r="W18" s="641"/>
      <c r="X18" s="210"/>
    </row>
    <row r="19" spans="1:29" ht="24.75" customHeight="1" thickBot="1">
      <c r="A19" s="206"/>
      <c r="B19" s="700" t="str">
        <f>transl8!B19</f>
        <v>Riesgo de reclamación de garantías</v>
      </c>
      <c r="C19" s="701"/>
      <c r="D19" s="701"/>
      <c r="E19" s="701"/>
      <c r="F19" s="701"/>
      <c r="G19" s="701"/>
      <c r="H19" s="701"/>
      <c r="I19" s="701"/>
      <c r="J19" s="702"/>
      <c r="K19" s="223"/>
      <c r="L19" s="653"/>
      <c r="M19" s="654"/>
      <c r="N19" s="654"/>
      <c r="O19" s="654"/>
      <c r="P19" s="655"/>
      <c r="Q19" s="209"/>
      <c r="R19" s="642"/>
      <c r="S19" s="643"/>
      <c r="T19" s="643"/>
      <c r="U19" s="643"/>
      <c r="V19" s="643"/>
      <c r="W19" s="644"/>
      <c r="X19" s="210"/>
    </row>
    <row r="20" spans="1:29" ht="39.75" customHeight="1" thickBot="1">
      <c r="A20" s="206"/>
      <c r="B20" s="719"/>
      <c r="C20" s="720"/>
      <c r="D20" s="720"/>
      <c r="E20" s="720"/>
      <c r="F20" s="720"/>
      <c r="G20" s="720"/>
      <c r="H20" s="720"/>
      <c r="I20" s="720"/>
      <c r="J20" s="721"/>
      <c r="K20" s="222"/>
      <c r="L20" s="653"/>
      <c r="M20" s="654"/>
      <c r="N20" s="654"/>
      <c r="O20" s="654"/>
      <c r="P20" s="655"/>
      <c r="Q20" s="209"/>
      <c r="R20" s="642"/>
      <c r="S20" s="643"/>
      <c r="T20" s="643"/>
      <c r="U20" s="643"/>
      <c r="V20" s="643"/>
      <c r="W20" s="644"/>
      <c r="X20" s="210"/>
    </row>
    <row r="21" spans="1:29" ht="10.5" customHeight="1" thickBot="1">
      <c r="A21" s="206"/>
      <c r="B21" s="219"/>
      <c r="C21" s="224"/>
      <c r="D21" s="225"/>
      <c r="E21" s="225"/>
      <c r="F21" s="225"/>
      <c r="G21" s="225"/>
      <c r="H21" s="225"/>
      <c r="I21" s="225"/>
      <c r="J21" s="225"/>
      <c r="K21" s="209"/>
      <c r="L21" s="653"/>
      <c r="M21" s="654"/>
      <c r="N21" s="654"/>
      <c r="O21" s="654"/>
      <c r="P21" s="655"/>
      <c r="Q21" s="209"/>
      <c r="R21" s="642"/>
      <c r="S21" s="643"/>
      <c r="T21" s="643"/>
      <c r="U21" s="643"/>
      <c r="V21" s="643"/>
      <c r="W21" s="644"/>
      <c r="X21" s="210"/>
    </row>
    <row r="22" spans="1:29" s="219" customFormat="1" ht="63.75" customHeight="1" thickBot="1">
      <c r="A22" s="206"/>
      <c r="B22" s="257">
        <v>0</v>
      </c>
      <c r="C22" s="611" t="str">
        <f>transl8!C22</f>
        <v>D3 - Contención.</v>
      </c>
      <c r="D22" s="634"/>
      <c r="E22" s="634"/>
      <c r="F22" s="635"/>
      <c r="G22" s="527" t="str">
        <f>transl8!G22</f>
        <v xml:space="preserve">Acción
efectiva
en
</v>
      </c>
      <c r="H22" s="258" t="str">
        <f>transl8!H22</f>
        <v xml:space="preserve">     &lt; 2h (initiated)
     &lt; 24h
     &gt; 24h
</v>
      </c>
      <c r="I22" s="749" t="str">
        <f>transl8!I22</f>
        <v>Cliente informado?</v>
      </c>
      <c r="J22" s="750">
        <f>transl8!J22</f>
        <v>0</v>
      </c>
      <c r="K22" s="226"/>
      <c r="L22" s="653"/>
      <c r="M22" s="654"/>
      <c r="N22" s="654"/>
      <c r="O22" s="654"/>
      <c r="P22" s="655"/>
      <c r="Q22" s="209"/>
      <c r="R22" s="642"/>
      <c r="S22" s="643"/>
      <c r="T22" s="643"/>
      <c r="U22" s="643"/>
      <c r="V22" s="643"/>
      <c r="W22" s="644"/>
      <c r="X22" s="210"/>
    </row>
    <row r="23" spans="1:29" ht="60" customHeight="1">
      <c r="A23" s="206"/>
      <c r="B23" s="715" t="str">
        <f>transl8!B23</f>
        <v>1. Clasificación
por Localización</v>
      </c>
      <c r="C23" s="716">
        <f>transl8!C23</f>
        <v>0</v>
      </c>
      <c r="D23" s="153" t="str">
        <f>transl8!D23</f>
        <v>Localización</v>
      </c>
      <c r="E23" s="153" t="str">
        <f>transl8!E23</f>
        <v>NOK</v>
      </c>
      <c r="F23" s="153" t="str">
        <f>transl8!F23</f>
        <v>revisado</v>
      </c>
      <c r="G23" s="725" t="str">
        <f>transl8!G23</f>
        <v>Comentarios / Conclusiones</v>
      </c>
      <c r="H23" s="726">
        <f>transl8!H23</f>
        <v>0</v>
      </c>
      <c r="I23" s="726">
        <f>transl8!I23</f>
        <v>0</v>
      </c>
      <c r="J23" s="727">
        <f>transl8!J23</f>
        <v>0</v>
      </c>
      <c r="K23" s="209"/>
      <c r="L23" s="653"/>
      <c r="M23" s="654"/>
      <c r="N23" s="654"/>
      <c r="O23" s="654"/>
      <c r="P23" s="655"/>
      <c r="Q23" s="209"/>
      <c r="R23" s="642"/>
      <c r="S23" s="643"/>
      <c r="T23" s="643"/>
      <c r="U23" s="643"/>
      <c r="V23" s="643"/>
      <c r="W23" s="644"/>
      <c r="X23" s="210"/>
    </row>
    <row r="24" spans="1:29" ht="42.75" customHeight="1" thickBot="1">
      <c r="A24" s="206"/>
      <c r="B24" s="715">
        <f>transl8!B24</f>
        <v>0</v>
      </c>
      <c r="C24" s="716">
        <f>transl8!C24</f>
        <v>0</v>
      </c>
      <c r="D24" s="153" t="str">
        <f>transl8!D24</f>
        <v>Cliente final</v>
      </c>
      <c r="E24" s="228">
        <f>'Statistics (D3+D7)'!C4</f>
        <v>0</v>
      </c>
      <c r="F24" s="228">
        <f>'Statistics (D3+D7)'!C5</f>
        <v>0</v>
      </c>
      <c r="G24" s="695"/>
      <c r="H24" s="696"/>
      <c r="I24" s="696"/>
      <c r="J24" s="697"/>
      <c r="K24" s="209"/>
      <c r="L24" s="653"/>
      <c r="M24" s="654"/>
      <c r="N24" s="654"/>
      <c r="O24" s="654"/>
      <c r="P24" s="655"/>
      <c r="Q24" s="209"/>
      <c r="R24" s="645"/>
      <c r="S24" s="646"/>
      <c r="T24" s="646"/>
      <c r="U24" s="646"/>
      <c r="V24" s="646"/>
      <c r="W24" s="647"/>
      <c r="X24" s="210"/>
    </row>
    <row r="25" spans="1:29" ht="42.75" customHeight="1" thickBot="1">
      <c r="A25" s="206"/>
      <c r="B25" s="715">
        <f>transl8!B25</f>
        <v>0</v>
      </c>
      <c r="C25" s="716">
        <f>transl8!C25</f>
        <v>0</v>
      </c>
      <c r="D25" s="153" t="str">
        <f>transl8!D25</f>
        <v>Faurecia</v>
      </c>
      <c r="E25" s="228">
        <f>'Statistics (D3+D7)'!C10</f>
        <v>0</v>
      </c>
      <c r="F25" s="228">
        <f>'Statistics (D3+D7)'!C11</f>
        <v>0</v>
      </c>
      <c r="G25" s="695"/>
      <c r="H25" s="696"/>
      <c r="I25" s="696"/>
      <c r="J25" s="697"/>
      <c r="K25" s="209"/>
      <c r="L25" s="653"/>
      <c r="M25" s="654"/>
      <c r="N25" s="654"/>
      <c r="O25" s="654"/>
      <c r="P25" s="655"/>
      <c r="Q25" s="209"/>
      <c r="R25" s="229"/>
      <c r="S25" s="659" t="str">
        <f>transl8!S25</f>
        <v xml:space="preserve">El defecto ha vuelto a aparecer en FAURECIA. Las acciones de contención/correctivas no han sido efectivas.
</v>
      </c>
      <c r="T25" s="659">
        <f>transl8!T25</f>
        <v>0</v>
      </c>
      <c r="U25" s="659">
        <f>transl8!U25</f>
        <v>0</v>
      </c>
      <c r="V25" s="659">
        <f>transl8!V25</f>
        <v>0</v>
      </c>
      <c r="W25" s="659">
        <f>transl8!W25</f>
        <v>0</v>
      </c>
      <c r="X25" s="210"/>
    </row>
    <row r="26" spans="1:29" ht="43.5" customHeight="1" thickBot="1">
      <c r="A26" s="206"/>
      <c r="B26" s="715">
        <f>transl8!B26</f>
        <v>0</v>
      </c>
      <c r="C26" s="716">
        <f>transl8!C26</f>
        <v>0</v>
      </c>
      <c r="D26" s="153" t="str">
        <f>transl8!D26</f>
        <v>Proveedor</v>
      </c>
      <c r="E26" s="228">
        <f>'Statistics (D3+D7)'!C16</f>
        <v>0</v>
      </c>
      <c r="F26" s="228">
        <f>'Statistics (D3+D7)'!C17</f>
        <v>0</v>
      </c>
      <c r="G26" s="590"/>
      <c r="H26" s="732"/>
      <c r="I26" s="732"/>
      <c r="J26" s="733"/>
      <c r="K26" s="209"/>
      <c r="L26" s="656"/>
      <c r="M26" s="657"/>
      <c r="N26" s="657"/>
      <c r="O26" s="657"/>
      <c r="P26" s="658"/>
      <c r="Q26" s="209"/>
      <c r="R26" s="257">
        <v>0</v>
      </c>
      <c r="S26" s="634" t="str">
        <f>transl8!S26</f>
        <v>D8 - Lecciones Aprendidas</v>
      </c>
      <c r="T26" s="634">
        <f>transl8!T26</f>
        <v>0</v>
      </c>
      <c r="U26" s="634">
        <f>transl8!U26</f>
        <v>0</v>
      </c>
      <c r="V26" s="634">
        <f>transl8!V26</f>
        <v>0</v>
      </c>
      <c r="W26" s="635">
        <f>transl8!W26</f>
        <v>0</v>
      </c>
      <c r="X26" s="210"/>
      <c r="Y26" s="230"/>
      <c r="Z26" s="230"/>
      <c r="AA26" s="230"/>
      <c r="AB26" s="230"/>
      <c r="AC26" s="230"/>
    </row>
    <row r="27" spans="1:29" ht="60" customHeight="1" thickBot="1">
      <c r="A27" s="206"/>
      <c r="B27" s="602" t="s">
        <v>192</v>
      </c>
      <c r="C27" s="724"/>
      <c r="D27" s="730" t="str">
        <f>transl8!D27</f>
        <v>Acción</v>
      </c>
      <c r="E27" s="730">
        <f>transl8!E27</f>
        <v>0</v>
      </c>
      <c r="F27" s="731">
        <f>transl8!F27</f>
        <v>0</v>
      </c>
      <c r="G27" s="728" t="str">
        <f>transl8!G27</f>
        <v>Fecha / Hora implementación</v>
      </c>
      <c r="H27" s="731">
        <f>transl8!H27</f>
        <v>0</v>
      </c>
      <c r="I27" s="728" t="str">
        <f>transl8!I27</f>
        <v>Punto de corte</v>
      </c>
      <c r="J27" s="729">
        <f>transl8!J27</f>
        <v>0</v>
      </c>
      <c r="K27" s="209"/>
      <c r="L27" s="217" t="str">
        <f>transl8!L27</f>
        <v>Occ 1</v>
      </c>
      <c r="M27" s="583" t="str">
        <f>IF('5WHY'!J17&lt;&gt;"",'5WHY'!J17,"")</f>
        <v>manual process</v>
      </c>
      <c r="N27" s="584"/>
      <c r="O27" s="584"/>
      <c r="P27" s="585"/>
      <c r="Q27" s="209"/>
      <c r="R27" s="619" t="str">
        <f>transl8!R27</f>
        <v>FMEA, control plan, maintenance plan, workstation documents, audit frequency, boundary samples, knowledge management database / product or process standard, Lesson Learned Sheet…</v>
      </c>
      <c r="S27" s="620">
        <f>transl8!S27</f>
        <v>0</v>
      </c>
      <c r="T27" s="537" t="str">
        <f>transl8!T27</f>
        <v>Acción</v>
      </c>
      <c r="U27" s="537" t="str">
        <f>transl8!U27</f>
        <v>Piloto</v>
      </c>
      <c r="V27" s="537" t="str">
        <f>transl8!V27</f>
        <v>Fecha Límite</v>
      </c>
      <c r="W27" s="535" t="str">
        <f>transl8!W27</f>
        <v>Estado</v>
      </c>
      <c r="X27" s="210"/>
      <c r="Y27" s="231"/>
      <c r="Z27" s="25"/>
      <c r="AA27" s="25"/>
      <c r="AB27" s="25"/>
      <c r="AC27" s="25"/>
    </row>
    <row r="28" spans="1:29" ht="59.25" customHeight="1" thickBot="1">
      <c r="A28" s="206"/>
      <c r="B28" s="715" t="str">
        <f>transl8!B28</f>
        <v>2. Acciones de contención</v>
      </c>
      <c r="C28" s="716">
        <f>transl8!C28</f>
        <v>0</v>
      </c>
      <c r="D28" s="579"/>
      <c r="E28" s="579"/>
      <c r="F28" s="580"/>
      <c r="G28" s="581"/>
      <c r="H28" s="582"/>
      <c r="I28" s="581"/>
      <c r="J28" s="734"/>
      <c r="K28" s="209"/>
      <c r="L28" s="217" t="str">
        <f>transl8!L28</f>
        <v>Occ 2</v>
      </c>
      <c r="M28" s="636" t="str">
        <f>IF('5WHY'!J19&lt;&gt;"",'5WHY'!J19,"")</f>
        <v>unstable process</v>
      </c>
      <c r="N28" s="637"/>
      <c r="O28" s="637"/>
      <c r="P28" s="638"/>
      <c r="Q28" s="209"/>
      <c r="R28" s="621">
        <f>transl8!R28</f>
        <v>0</v>
      </c>
      <c r="S28" s="622">
        <f>transl8!S28</f>
        <v>0</v>
      </c>
      <c r="T28" s="536"/>
      <c r="U28" s="81"/>
      <c r="V28" s="82"/>
      <c r="W28" s="323"/>
      <c r="X28" s="210"/>
      <c r="Y28" s="231"/>
      <c r="Z28" s="232"/>
      <c r="AA28" s="233"/>
      <c r="AB28" s="234"/>
      <c r="AC28" s="26"/>
    </row>
    <row r="29" spans="1:29" ht="59.25" customHeight="1" thickBot="1">
      <c r="A29" s="206"/>
      <c r="B29" s="715">
        <f>transl8!B29</f>
        <v>0</v>
      </c>
      <c r="C29" s="716">
        <f>transl8!C29</f>
        <v>0</v>
      </c>
      <c r="D29" s="579"/>
      <c r="E29" s="579"/>
      <c r="F29" s="580"/>
      <c r="G29" s="581"/>
      <c r="H29" s="582"/>
      <c r="I29" s="581"/>
      <c r="J29" s="734"/>
      <c r="K29" s="209"/>
      <c r="L29" s="217" t="str">
        <f>transl8!L29</f>
        <v>Occ 3</v>
      </c>
      <c r="M29" s="583" t="str">
        <f>IF('5WHY'!J21&lt;&gt;"",'5WHY'!J21,"")</f>
        <v/>
      </c>
      <c r="N29" s="584"/>
      <c r="O29" s="584"/>
      <c r="P29" s="585"/>
      <c r="Q29" s="209"/>
      <c r="R29" s="621">
        <f>transl8!R29</f>
        <v>0</v>
      </c>
      <c r="S29" s="622">
        <f>transl8!S29</f>
        <v>0</v>
      </c>
      <c r="T29" s="103"/>
      <c r="U29" s="81"/>
      <c r="V29" s="82"/>
      <c r="W29" s="320"/>
      <c r="X29" s="210"/>
      <c r="Y29" s="231"/>
      <c r="Z29" s="232"/>
      <c r="AA29" s="233"/>
      <c r="AB29" s="234"/>
      <c r="AC29" s="26"/>
    </row>
    <row r="30" spans="1:29" ht="59.25" customHeight="1" thickBot="1">
      <c r="A30" s="206"/>
      <c r="B30" s="715">
        <f>transl8!B30</f>
        <v>0</v>
      </c>
      <c r="C30" s="716">
        <f>transl8!C30</f>
        <v>0</v>
      </c>
      <c r="D30" s="579"/>
      <c r="E30" s="579"/>
      <c r="F30" s="580"/>
      <c r="G30" s="581"/>
      <c r="H30" s="582"/>
      <c r="I30" s="581"/>
      <c r="J30" s="734"/>
      <c r="K30" s="209"/>
      <c r="L30" s="217" t="str">
        <f>transl8!L30</f>
        <v>Occ 4</v>
      </c>
      <c r="M30" s="583" t="str">
        <f>IF('5WHY'!J23&lt;&gt;"",'5WHY'!J23,"")</f>
        <v/>
      </c>
      <c r="N30" s="584"/>
      <c r="O30" s="584"/>
      <c r="P30" s="585"/>
      <c r="Q30" s="209"/>
      <c r="R30" s="621">
        <f>transl8!R30</f>
        <v>0</v>
      </c>
      <c r="S30" s="622">
        <f>transl8!S30</f>
        <v>0</v>
      </c>
      <c r="T30" s="103"/>
      <c r="U30" s="81"/>
      <c r="V30" s="82"/>
      <c r="W30" s="323"/>
      <c r="X30" s="210"/>
      <c r="Y30" s="231"/>
      <c r="Z30" s="232"/>
      <c r="AA30" s="233"/>
      <c r="AB30" s="234"/>
      <c r="AC30" s="26"/>
    </row>
    <row r="31" spans="1:29" ht="59.25" customHeight="1" thickBot="1">
      <c r="A31" s="206"/>
      <c r="B31" s="715">
        <f>transl8!B31</f>
        <v>0</v>
      </c>
      <c r="C31" s="716">
        <f>transl8!C31</f>
        <v>0</v>
      </c>
      <c r="D31" s="579"/>
      <c r="E31" s="579"/>
      <c r="F31" s="580"/>
      <c r="G31" s="581"/>
      <c r="H31" s="582"/>
      <c r="I31" s="581"/>
      <c r="J31" s="734"/>
      <c r="K31" s="209"/>
      <c r="L31" s="217" t="str">
        <f>transl8!L31</f>
        <v>Occ 5</v>
      </c>
      <c r="M31" s="583" t="str">
        <f>IF('5WHY'!J25&lt;&gt;"",'5WHY'!J25,"")</f>
        <v/>
      </c>
      <c r="N31" s="584"/>
      <c r="O31" s="584"/>
      <c r="P31" s="585"/>
      <c r="Q31" s="209"/>
      <c r="R31" s="621">
        <f>transl8!R31</f>
        <v>0</v>
      </c>
      <c r="S31" s="622">
        <f>transl8!S31</f>
        <v>0</v>
      </c>
      <c r="T31" s="103"/>
      <c r="U31" s="538"/>
      <c r="V31" s="539"/>
      <c r="W31" s="540"/>
      <c r="X31" s="210"/>
      <c r="Y31" s="231"/>
      <c r="Z31" s="235"/>
      <c r="AA31" s="233"/>
      <c r="AB31" s="234"/>
      <c r="AC31" s="26"/>
    </row>
    <row r="32" spans="1:29" ht="20.25" customHeight="1">
      <c r="A32" s="206"/>
      <c r="B32" s="715">
        <f>transl8!B32</f>
        <v>0</v>
      </c>
      <c r="C32" s="716">
        <f>transl8!C32</f>
        <v>0</v>
      </c>
      <c r="D32" s="741"/>
      <c r="E32" s="742"/>
      <c r="F32" s="743"/>
      <c r="G32" s="737"/>
      <c r="H32" s="738"/>
      <c r="I32" s="737"/>
      <c r="J32" s="747"/>
      <c r="K32" s="209"/>
      <c r="L32" s="660" t="str">
        <f>transl8!L32</f>
        <v>Por favor cumplimente  "Ishikawa" &amp; "5WHY" o Análisis "Es/No es" &amp; "5WHY"!</v>
      </c>
      <c r="M32" s="661">
        <f>transl8!M32</f>
        <v>0</v>
      </c>
      <c r="N32" s="661">
        <f>transl8!N32</f>
        <v>0</v>
      </c>
      <c r="O32" s="661">
        <f>transl8!O32</f>
        <v>0</v>
      </c>
      <c r="P32" s="662">
        <f>transl8!P32</f>
        <v>0</v>
      </c>
      <c r="Q32" s="209"/>
      <c r="R32" s="621">
        <f>transl8!R32</f>
        <v>0</v>
      </c>
      <c r="S32" s="622">
        <f>transl8!S32</f>
        <v>0</v>
      </c>
      <c r="T32" s="534" t="s">
        <v>539</v>
      </c>
      <c r="U32" s="541" t="str">
        <f>transl8!U32</f>
        <v>S</v>
      </c>
      <c r="V32" s="541" t="str">
        <f>transl8!V32</f>
        <v>O</v>
      </c>
      <c r="W32" s="542" t="str">
        <f>transl8!W32</f>
        <v>D</v>
      </c>
      <c r="X32" s="210"/>
      <c r="Y32" s="231"/>
      <c r="Z32" s="235"/>
      <c r="AA32" s="233"/>
      <c r="AB32" s="234"/>
      <c r="AC32" s="26"/>
    </row>
    <row r="33" spans="1:33" ht="38.25" customHeight="1" thickBot="1">
      <c r="A33" s="206"/>
      <c r="B33" s="735">
        <f>transl8!B33</f>
        <v>0</v>
      </c>
      <c r="C33" s="736">
        <f>transl8!C33</f>
        <v>0</v>
      </c>
      <c r="D33" s="744"/>
      <c r="E33" s="745"/>
      <c r="F33" s="746"/>
      <c r="G33" s="739"/>
      <c r="H33" s="740"/>
      <c r="I33" s="739"/>
      <c r="J33" s="748"/>
      <c r="K33" s="209"/>
      <c r="L33" s="663">
        <f>transl8!L33</f>
        <v>0</v>
      </c>
      <c r="M33" s="664">
        <f>transl8!M33</f>
        <v>0</v>
      </c>
      <c r="N33" s="664">
        <f>transl8!N33</f>
        <v>0</v>
      </c>
      <c r="O33" s="664">
        <f>transl8!O33</f>
        <v>0</v>
      </c>
      <c r="P33" s="665">
        <f>transl8!P33</f>
        <v>0</v>
      </c>
      <c r="Q33" s="209"/>
      <c r="R33" s="623">
        <f>transl8!R33</f>
        <v>0</v>
      </c>
      <c r="S33" s="624">
        <f>transl8!S33</f>
        <v>0</v>
      </c>
      <c r="T33" s="237">
        <f>PRODUCT(U33:W33)</f>
        <v>0</v>
      </c>
      <c r="U33" s="543"/>
      <c r="V33" s="543"/>
      <c r="W33" s="544"/>
      <c r="X33" s="210"/>
    </row>
    <row r="34" spans="1:33" ht="16.5" customHeight="1" thickBot="1">
      <c r="A34" s="206"/>
      <c r="B34" s="219"/>
      <c r="C34" s="219"/>
      <c r="D34" s="219"/>
      <c r="E34" s="219"/>
      <c r="F34" s="219"/>
      <c r="G34" s="219"/>
      <c r="H34" s="219"/>
      <c r="I34" s="219"/>
      <c r="J34" s="219"/>
      <c r="K34" s="219"/>
      <c r="L34" s="219"/>
      <c r="M34" s="219"/>
      <c r="N34" s="219"/>
      <c r="O34" s="219"/>
      <c r="P34" s="219"/>
      <c r="Q34" s="209"/>
      <c r="R34" s="209"/>
      <c r="X34" s="210"/>
    </row>
    <row r="35" spans="1:33" s="243" customFormat="1" ht="53.25" customHeight="1" thickBot="1">
      <c r="A35" s="238"/>
      <c r="B35" s="558" t="str">
        <f>transl8!B35</f>
        <v>Creado (nombre/posición):</v>
      </c>
      <c r="C35" s="559">
        <f>transl8!C35</f>
        <v>0</v>
      </c>
      <c r="D35" s="560"/>
      <c r="E35" s="561"/>
      <c r="F35" s="562"/>
      <c r="G35" s="556" t="str">
        <f>transl8!G35</f>
        <v>Contacto del proveedor:</v>
      </c>
      <c r="H35" s="557">
        <f>transl8!H35</f>
        <v>0</v>
      </c>
      <c r="I35" s="575"/>
      <c r="J35" s="576"/>
      <c r="K35" s="239"/>
      <c r="L35" s="558" t="str">
        <f>transl8!L35</f>
        <v>Fecha de apertura :</v>
      </c>
      <c r="M35" s="559">
        <f>transl8!M35</f>
        <v>0</v>
      </c>
      <c r="N35" s="321">
        <f>$I$6</f>
        <v>0</v>
      </c>
      <c r="O35" s="240" t="str">
        <f>transl8!O35</f>
        <v>Fecha última revisión</v>
      </c>
      <c r="P35" s="322"/>
      <c r="Q35" s="241"/>
      <c r="R35" s="627" t="str">
        <f>transl8!R35</f>
        <v xml:space="preserve">    8D-Evaluation [%]</v>
      </c>
      <c r="S35" s="628">
        <f>transl8!S35</f>
        <v>0</v>
      </c>
      <c r="T35" s="629">
        <f>transl8!T35</f>
        <v>0</v>
      </c>
      <c r="U35" s="568">
        <f>invisible!$D$16</f>
        <v>-100</v>
      </c>
      <c r="V35" s="569"/>
      <c r="W35" s="570"/>
      <c r="X35" s="242"/>
    </row>
    <row r="36" spans="1:33" ht="21.95" customHeight="1" thickBot="1">
      <c r="A36" s="244"/>
      <c r="B36" s="245"/>
      <c r="C36" s="245"/>
      <c r="D36" s="245"/>
      <c r="E36" s="245"/>
      <c r="F36" s="245"/>
      <c r="G36" s="245"/>
      <c r="H36" s="245"/>
      <c r="I36" s="245"/>
      <c r="J36" s="245"/>
      <c r="K36" s="245"/>
      <c r="L36" s="245"/>
      <c r="M36" s="245"/>
      <c r="N36" s="245"/>
      <c r="O36" s="245"/>
      <c r="P36" s="245"/>
      <c r="Q36" s="246"/>
      <c r="R36" s="246"/>
      <c r="S36" s="245"/>
      <c r="T36" s="245"/>
      <c r="U36" s="245"/>
      <c r="V36" s="245"/>
      <c r="W36" s="245"/>
      <c r="X36" s="247"/>
      <c r="AA36" s="219"/>
      <c r="AC36" s="219"/>
      <c r="AD36" s="219"/>
      <c r="AE36" s="219"/>
      <c r="AF36" s="219"/>
      <c r="AG36" s="219"/>
    </row>
    <row r="37" spans="1:33">
      <c r="AA37" s="219"/>
      <c r="AC37" s="219"/>
      <c r="AD37" s="566" t="s">
        <v>57</v>
      </c>
      <c r="AE37" s="219"/>
      <c r="AF37" s="219"/>
      <c r="AG37" s="219"/>
    </row>
    <row r="38" spans="1:33" ht="12.75" thickBot="1">
      <c r="AA38" s="219"/>
      <c r="AC38" s="219"/>
      <c r="AD38" s="566"/>
      <c r="AE38" s="219"/>
      <c r="AF38" s="219"/>
      <c r="AG38" s="219"/>
    </row>
    <row r="39" spans="1:33" ht="15.75" thickBot="1">
      <c r="U39" s="571" t="s">
        <v>40</v>
      </c>
      <c r="V39" s="572"/>
      <c r="W39" s="248" t="s">
        <v>41</v>
      </c>
      <c r="AA39" s="219"/>
      <c r="AC39" s="219"/>
      <c r="AD39" s="249"/>
      <c r="AE39" s="219"/>
      <c r="AF39" s="219"/>
      <c r="AG39" s="219"/>
    </row>
    <row r="40" spans="1:33" ht="14.25">
      <c r="U40" s="573" t="s">
        <v>492</v>
      </c>
      <c r="V40" s="574"/>
      <c r="W40" s="250">
        <v>0.7</v>
      </c>
      <c r="AA40" s="219"/>
      <c r="AC40" s="219"/>
      <c r="AD40" s="566" t="s">
        <v>58</v>
      </c>
      <c r="AE40" s="219"/>
      <c r="AF40" s="219"/>
      <c r="AG40" s="219"/>
    </row>
    <row r="41" spans="1:33" ht="14.25">
      <c r="U41" s="563" t="s">
        <v>490</v>
      </c>
      <c r="V41" s="564"/>
      <c r="W41" s="251"/>
      <c r="AA41" s="219"/>
      <c r="AC41" s="219"/>
      <c r="AD41" s="566"/>
      <c r="AE41" s="219"/>
      <c r="AF41" s="219"/>
      <c r="AG41" s="219"/>
    </row>
    <row r="42" spans="1:33" ht="14.25" customHeight="1">
      <c r="U42" s="563" t="s">
        <v>313</v>
      </c>
      <c r="V42" s="564"/>
      <c r="W42" s="252">
        <v>0.05</v>
      </c>
      <c r="AA42" s="219"/>
      <c r="AC42" s="219"/>
      <c r="AD42" s="249"/>
      <c r="AE42" s="219"/>
      <c r="AF42" s="219"/>
      <c r="AG42" s="219"/>
    </row>
    <row r="43" spans="1:33" ht="14.25">
      <c r="U43" s="563" t="s">
        <v>314</v>
      </c>
      <c r="V43" s="564"/>
      <c r="W43" s="253">
        <v>0.05</v>
      </c>
      <c r="AA43" s="219"/>
      <c r="AC43" s="219"/>
      <c r="AD43" s="565" t="s">
        <v>59</v>
      </c>
      <c r="AE43" s="219"/>
      <c r="AF43" s="219"/>
      <c r="AG43" s="219"/>
    </row>
    <row r="44" spans="1:33" ht="14.25">
      <c r="U44" s="563" t="s">
        <v>315</v>
      </c>
      <c r="V44" s="564"/>
      <c r="W44" s="253">
        <v>-0.1</v>
      </c>
      <c r="AA44" s="219"/>
      <c r="AC44" s="219"/>
      <c r="AD44" s="565"/>
      <c r="AE44" s="219"/>
      <c r="AF44" s="219"/>
      <c r="AG44" s="219"/>
    </row>
    <row r="45" spans="1:33" ht="14.25">
      <c r="U45" s="577" t="s">
        <v>461</v>
      </c>
      <c r="V45" s="578"/>
      <c r="W45" s="253">
        <v>0.1</v>
      </c>
      <c r="AA45" s="219"/>
      <c r="AC45" s="219"/>
      <c r="AD45" s="249"/>
      <c r="AE45" s="219"/>
      <c r="AF45" s="219"/>
      <c r="AG45" s="219"/>
    </row>
    <row r="46" spans="1:33" ht="14.25">
      <c r="U46" s="577" t="s">
        <v>420</v>
      </c>
      <c r="V46" s="578"/>
      <c r="W46" s="253">
        <v>-0.1</v>
      </c>
      <c r="AA46" s="219"/>
      <c r="AC46" s="219"/>
      <c r="AD46" s="565" t="s">
        <v>457</v>
      </c>
      <c r="AE46" s="219"/>
      <c r="AF46" s="219"/>
      <c r="AG46" s="219"/>
    </row>
    <row r="47" spans="1:33" ht="15" thickBot="1">
      <c r="U47" s="625" t="s">
        <v>491</v>
      </c>
      <c r="V47" s="626"/>
      <c r="W47" s="547" t="s">
        <v>540</v>
      </c>
      <c r="AA47" s="219"/>
      <c r="AC47" s="219"/>
      <c r="AD47" s="565"/>
      <c r="AE47" s="219"/>
      <c r="AF47" s="219"/>
      <c r="AG47" s="219"/>
    </row>
    <row r="48" spans="1:33" ht="36.75" customHeight="1">
      <c r="AA48" s="219"/>
      <c r="AC48" s="219"/>
      <c r="AD48" s="249"/>
      <c r="AE48" s="219"/>
      <c r="AF48" s="219"/>
      <c r="AG48" s="219"/>
    </row>
    <row r="49" spans="27:33" ht="17.25" customHeight="1">
      <c r="AA49" s="219"/>
      <c r="AC49" s="219"/>
      <c r="AD49" s="565"/>
      <c r="AE49" s="219"/>
      <c r="AF49" s="219"/>
      <c r="AG49" s="219"/>
    </row>
    <row r="50" spans="27:33" ht="15.95" customHeight="1">
      <c r="AA50" s="255"/>
      <c r="AC50" s="255" t="s">
        <v>458</v>
      </c>
      <c r="AD50" s="565"/>
      <c r="AE50" s="255" t="s">
        <v>471</v>
      </c>
      <c r="AF50" s="219"/>
      <c r="AG50" s="219"/>
    </row>
    <row r="51" spans="27:33" ht="32.25" customHeight="1">
      <c r="AA51" s="219"/>
      <c r="AC51" s="219"/>
      <c r="AD51" s="249"/>
      <c r="AE51" s="219"/>
      <c r="AF51" s="219"/>
      <c r="AG51" s="219"/>
    </row>
    <row r="52" spans="27:33">
      <c r="AA52" s="219"/>
      <c r="AC52" s="219"/>
      <c r="AD52" s="566"/>
      <c r="AE52" s="219"/>
      <c r="AF52" s="219"/>
      <c r="AG52" s="219"/>
    </row>
    <row r="53" spans="27:33" ht="15.95" customHeight="1">
      <c r="AA53" s="219"/>
      <c r="AC53" s="219"/>
      <c r="AD53" s="566"/>
      <c r="AE53" s="219"/>
      <c r="AF53" s="219"/>
      <c r="AG53" s="219"/>
    </row>
    <row r="54" spans="27:33">
      <c r="AA54" s="219"/>
      <c r="AC54" s="219"/>
      <c r="AD54" s="249"/>
      <c r="AE54" s="219"/>
      <c r="AF54" s="219"/>
      <c r="AG54" s="219"/>
    </row>
    <row r="55" spans="27:33" ht="35.25" customHeight="1">
      <c r="AA55" s="255"/>
      <c r="AC55" s="255" t="s">
        <v>470</v>
      </c>
      <c r="AD55" s="565"/>
      <c r="AE55" s="255" t="s">
        <v>459</v>
      </c>
      <c r="AF55" s="219"/>
      <c r="AG55" s="219"/>
    </row>
    <row r="56" spans="27:33" ht="15.75" customHeight="1">
      <c r="AA56" s="255"/>
      <c r="AC56" s="255"/>
      <c r="AD56" s="565"/>
      <c r="AE56" s="255" t="s">
        <v>471</v>
      </c>
      <c r="AF56" s="219"/>
      <c r="AG56" s="219"/>
    </row>
    <row r="57" spans="27:33" ht="36" customHeight="1">
      <c r="AA57" s="219"/>
      <c r="AC57" s="219"/>
      <c r="AD57" s="249"/>
      <c r="AE57" s="219"/>
      <c r="AF57" s="219"/>
      <c r="AG57" s="219"/>
    </row>
    <row r="58" spans="27:33" ht="19.5" customHeight="1">
      <c r="AA58" s="219"/>
      <c r="AC58" s="219"/>
      <c r="AD58" s="566"/>
      <c r="AE58" s="219"/>
      <c r="AF58" s="219"/>
      <c r="AG58" s="219"/>
    </row>
    <row r="59" spans="27:33" ht="3.75" customHeight="1">
      <c r="AA59" s="219"/>
      <c r="AC59" s="219"/>
      <c r="AD59" s="566"/>
      <c r="AE59" s="219"/>
      <c r="AF59" s="219"/>
      <c r="AG59" s="219"/>
    </row>
    <row r="60" spans="27:33" ht="12" customHeight="1">
      <c r="AA60" s="219"/>
      <c r="AC60" s="219"/>
      <c r="AD60" s="249"/>
      <c r="AE60" s="219"/>
      <c r="AF60" s="219"/>
      <c r="AG60" s="219"/>
    </row>
    <row r="61" spans="27:33">
      <c r="AA61" s="219"/>
      <c r="AC61" s="219"/>
      <c r="AD61" s="566"/>
      <c r="AE61" s="219"/>
      <c r="AF61" s="219"/>
      <c r="AG61" s="219"/>
    </row>
    <row r="62" spans="27:33" ht="15.95" customHeight="1">
      <c r="AA62" s="219"/>
      <c r="AC62" s="219"/>
      <c r="AD62" s="566"/>
      <c r="AE62" s="219"/>
      <c r="AF62" s="219"/>
      <c r="AG62" s="219"/>
    </row>
    <row r="63" spans="27:33" ht="14.25" customHeight="1">
      <c r="AA63" s="219"/>
      <c r="AC63" s="219"/>
      <c r="AD63" s="256" t="s">
        <v>60</v>
      </c>
      <c r="AE63" s="219"/>
      <c r="AF63" s="219"/>
      <c r="AG63" s="219"/>
    </row>
    <row r="64" spans="27:33">
      <c r="AA64" s="219"/>
      <c r="AC64" s="219"/>
      <c r="AD64" s="256"/>
      <c r="AE64" s="219"/>
      <c r="AF64" s="219"/>
      <c r="AG64" s="219"/>
    </row>
    <row r="65" spans="27:33" ht="15.95" customHeight="1">
      <c r="AA65" s="219"/>
      <c r="AC65" s="219"/>
      <c r="AE65" s="219"/>
      <c r="AF65" s="219"/>
      <c r="AG65" s="219"/>
    </row>
    <row r="66" spans="27:33" ht="21.75" customHeight="1">
      <c r="AA66" s="219"/>
      <c r="AC66" s="219"/>
      <c r="AD66" s="219"/>
      <c r="AE66" s="219"/>
      <c r="AF66" s="219"/>
      <c r="AG66" s="219"/>
    </row>
    <row r="67" spans="27:33" ht="32.25" customHeight="1">
      <c r="AA67" s="219"/>
      <c r="AC67" s="219"/>
      <c r="AD67" s="567" t="s">
        <v>460</v>
      </c>
      <c r="AE67" s="219"/>
      <c r="AF67" s="219"/>
      <c r="AG67" s="219"/>
    </row>
    <row r="68" spans="27:33" ht="15.95" customHeight="1">
      <c r="AA68" s="219"/>
      <c r="AC68" s="219"/>
      <c r="AD68" s="567"/>
      <c r="AE68" s="219"/>
      <c r="AF68" s="219"/>
      <c r="AG68" s="219"/>
    </row>
    <row r="69" spans="27:33">
      <c r="AA69" s="219"/>
      <c r="AC69" s="219"/>
      <c r="AD69" s="219"/>
      <c r="AE69" s="219"/>
      <c r="AF69" s="219"/>
      <c r="AG69" s="219"/>
    </row>
    <row r="70" spans="27:33">
      <c r="AA70" s="219"/>
      <c r="AC70" s="219"/>
      <c r="AD70" s="566" t="s">
        <v>61</v>
      </c>
      <c r="AE70" s="219"/>
      <c r="AF70" s="219"/>
      <c r="AG70" s="219"/>
    </row>
    <row r="71" spans="27:33" ht="15.95" customHeight="1">
      <c r="AA71" s="219"/>
      <c r="AC71" s="219"/>
      <c r="AD71" s="566"/>
      <c r="AE71" s="219"/>
      <c r="AF71" s="219"/>
      <c r="AG71" s="219"/>
    </row>
    <row r="72" spans="27:33">
      <c r="AA72" s="219"/>
      <c r="AC72" s="219"/>
      <c r="AE72" s="219"/>
      <c r="AF72" s="219"/>
      <c r="AG72" s="219"/>
    </row>
    <row r="73" spans="27:33">
      <c r="AA73" s="219"/>
      <c r="AC73" s="219"/>
      <c r="AD73" s="219"/>
      <c r="AE73" s="219"/>
      <c r="AF73" s="219"/>
      <c r="AG73" s="219"/>
    </row>
    <row r="74" spans="27:33" ht="15.95" customHeight="1">
      <c r="AA74" s="219"/>
      <c r="AC74" s="219"/>
      <c r="AD74" s="219"/>
      <c r="AE74" s="219"/>
      <c r="AF74" s="219"/>
      <c r="AG74" s="219"/>
    </row>
    <row r="99" spans="1:10" ht="12.75" thickBot="1"/>
    <row r="100" spans="1:10" ht="50.25" customHeight="1" thickBot="1">
      <c r="A100" s="528"/>
      <c r="B100" s="201"/>
      <c r="C100" s="554" t="str">
        <f>transl8!B3</f>
        <v>Reclamación no aceptada (Por qué?)</v>
      </c>
      <c r="D100" s="554"/>
      <c r="E100" s="554"/>
      <c r="F100" s="554"/>
      <c r="G100" s="554"/>
      <c r="H100" s="554"/>
      <c r="I100" s="554"/>
      <c r="J100" s="555"/>
    </row>
    <row r="101" spans="1:10" ht="33.75" customHeight="1">
      <c r="A101" s="528"/>
      <c r="B101" s="517"/>
      <c r="C101" s="518"/>
      <c r="D101" s="519"/>
      <c r="E101" s="519"/>
      <c r="F101" s="519"/>
      <c r="G101" s="519"/>
      <c r="H101" s="519"/>
      <c r="I101" s="519"/>
      <c r="J101" s="520"/>
    </row>
    <row r="102" spans="1:10">
      <c r="A102" s="528"/>
      <c r="B102" s="521"/>
      <c r="C102" s="522"/>
      <c r="D102" s="522"/>
      <c r="E102" s="522"/>
      <c r="F102" s="522"/>
      <c r="G102" s="522"/>
      <c r="H102" s="522"/>
      <c r="I102" s="522"/>
      <c r="J102" s="523"/>
    </row>
    <row r="103" spans="1:10">
      <c r="A103" s="528"/>
      <c r="B103" s="521"/>
      <c r="C103" s="522"/>
      <c r="D103" s="522"/>
      <c r="E103" s="522"/>
      <c r="F103" s="522"/>
      <c r="G103" s="522"/>
      <c r="H103" s="522"/>
      <c r="I103" s="522"/>
      <c r="J103" s="523"/>
    </row>
    <row r="104" spans="1:10">
      <c r="A104" s="528"/>
      <c r="B104" s="521"/>
      <c r="C104" s="522"/>
      <c r="D104" s="522"/>
      <c r="E104" s="522"/>
      <c r="F104" s="522"/>
      <c r="G104" s="522"/>
      <c r="H104" s="522"/>
      <c r="I104" s="522"/>
      <c r="J104" s="523"/>
    </row>
    <row r="105" spans="1:10">
      <c r="A105" s="528"/>
      <c r="B105" s="521"/>
      <c r="C105" s="522"/>
      <c r="D105" s="522"/>
      <c r="E105" s="522"/>
      <c r="F105" s="522"/>
      <c r="G105" s="522"/>
      <c r="H105" s="522"/>
      <c r="I105" s="522"/>
      <c r="J105" s="523"/>
    </row>
    <row r="106" spans="1:10">
      <c r="A106" s="528"/>
      <c r="B106" s="521"/>
      <c r="C106" s="522"/>
      <c r="D106" s="522"/>
      <c r="E106" s="522"/>
      <c r="F106" s="522"/>
      <c r="G106" s="522"/>
      <c r="H106" s="522"/>
      <c r="I106" s="522"/>
      <c r="J106" s="523"/>
    </row>
    <row r="107" spans="1:10">
      <c r="A107" s="528"/>
      <c r="B107" s="521"/>
      <c r="C107" s="522"/>
      <c r="D107" s="522"/>
      <c r="E107" s="522"/>
      <c r="F107" s="522"/>
      <c r="G107" s="522"/>
      <c r="H107" s="522"/>
      <c r="I107" s="522"/>
      <c r="J107" s="523"/>
    </row>
    <row r="108" spans="1:10">
      <c r="A108" s="528"/>
      <c r="B108" s="521"/>
      <c r="C108" s="522"/>
      <c r="D108" s="522"/>
      <c r="E108" s="522"/>
      <c r="F108" s="522"/>
      <c r="G108" s="522"/>
      <c r="H108" s="522"/>
      <c r="I108" s="522"/>
      <c r="J108" s="523"/>
    </row>
    <row r="109" spans="1:10">
      <c r="A109" s="528"/>
      <c r="B109" s="521"/>
      <c r="C109" s="522"/>
      <c r="D109" s="522"/>
      <c r="E109" s="522"/>
      <c r="F109" s="522"/>
      <c r="G109" s="522"/>
      <c r="H109" s="522"/>
      <c r="I109" s="522"/>
      <c r="J109" s="523"/>
    </row>
    <row r="110" spans="1:10">
      <c r="A110" s="528"/>
      <c r="B110" s="521"/>
      <c r="C110" s="522"/>
      <c r="D110" s="522"/>
      <c r="E110" s="522"/>
      <c r="F110" s="522"/>
      <c r="G110" s="522"/>
      <c r="H110" s="522"/>
      <c r="I110" s="522"/>
      <c r="J110" s="523"/>
    </row>
    <row r="111" spans="1:10">
      <c r="A111" s="528"/>
      <c r="B111" s="521"/>
      <c r="C111" s="522"/>
      <c r="D111" s="522"/>
      <c r="E111" s="522"/>
      <c r="F111" s="522"/>
      <c r="G111" s="522"/>
      <c r="H111" s="522"/>
      <c r="I111" s="522"/>
      <c r="J111" s="523"/>
    </row>
    <row r="112" spans="1:10">
      <c r="A112" s="528"/>
      <c r="B112" s="521"/>
      <c r="C112" s="522"/>
      <c r="D112" s="522"/>
      <c r="E112" s="522"/>
      <c r="F112" s="522"/>
      <c r="G112" s="522"/>
      <c r="H112" s="522"/>
      <c r="I112" s="522"/>
      <c r="J112" s="523"/>
    </row>
    <row r="113" spans="1:10">
      <c r="A113" s="528"/>
      <c r="B113" s="521"/>
      <c r="C113" s="522"/>
      <c r="D113" s="522"/>
      <c r="E113" s="522"/>
      <c r="F113" s="522"/>
      <c r="G113" s="522"/>
      <c r="H113" s="522"/>
      <c r="I113" s="522"/>
      <c r="J113" s="523"/>
    </row>
    <row r="114" spans="1:10">
      <c r="A114" s="528"/>
      <c r="B114" s="521"/>
      <c r="C114" s="522"/>
      <c r="D114" s="522"/>
      <c r="E114" s="522"/>
      <c r="F114" s="522"/>
      <c r="G114" s="522"/>
      <c r="H114" s="522"/>
      <c r="I114" s="522"/>
      <c r="J114" s="523"/>
    </row>
    <row r="115" spans="1:10">
      <c r="A115" s="528"/>
      <c r="B115" s="521"/>
      <c r="C115" s="522"/>
      <c r="D115" s="522"/>
      <c r="E115" s="522"/>
      <c r="F115" s="522"/>
      <c r="G115" s="522"/>
      <c r="H115" s="522"/>
      <c r="I115" s="522"/>
      <c r="J115" s="523"/>
    </row>
    <row r="116" spans="1:10">
      <c r="A116" s="528"/>
      <c r="B116" s="521"/>
      <c r="C116" s="522"/>
      <c r="D116" s="522"/>
      <c r="E116" s="522"/>
      <c r="F116" s="522"/>
      <c r="G116" s="522"/>
      <c r="H116" s="522"/>
      <c r="I116" s="522"/>
      <c r="J116" s="523"/>
    </row>
    <row r="117" spans="1:10">
      <c r="A117" s="528"/>
      <c r="B117" s="521"/>
      <c r="C117" s="522"/>
      <c r="D117" s="522"/>
      <c r="E117" s="522"/>
      <c r="F117" s="522"/>
      <c r="G117" s="522"/>
      <c r="H117" s="522"/>
      <c r="I117" s="522"/>
      <c r="J117" s="523"/>
    </row>
    <row r="118" spans="1:10">
      <c r="A118" s="528"/>
      <c r="B118" s="521"/>
      <c r="C118" s="522"/>
      <c r="D118" s="522"/>
      <c r="E118" s="522"/>
      <c r="F118" s="522"/>
      <c r="G118" s="522"/>
      <c r="H118" s="522"/>
      <c r="I118" s="522"/>
      <c r="J118" s="523"/>
    </row>
    <row r="119" spans="1:10">
      <c r="A119" s="528"/>
      <c r="B119" s="521"/>
      <c r="C119" s="522"/>
      <c r="D119" s="522"/>
      <c r="E119" s="522"/>
      <c r="F119" s="522"/>
      <c r="G119" s="522"/>
      <c r="H119" s="522"/>
      <c r="I119" s="522"/>
      <c r="J119" s="523"/>
    </row>
    <row r="120" spans="1:10">
      <c r="A120" s="528"/>
      <c r="B120" s="521"/>
      <c r="C120" s="522"/>
      <c r="D120" s="522"/>
      <c r="E120" s="522"/>
      <c r="F120" s="522"/>
      <c r="G120" s="522"/>
      <c r="H120" s="522"/>
      <c r="I120" s="522"/>
      <c r="J120" s="523"/>
    </row>
    <row r="121" spans="1:10">
      <c r="A121" s="528"/>
      <c r="B121" s="521"/>
      <c r="C121" s="522"/>
      <c r="D121" s="522"/>
      <c r="E121" s="522"/>
      <c r="F121" s="522"/>
      <c r="G121" s="522"/>
      <c r="H121" s="522"/>
      <c r="I121" s="522"/>
      <c r="J121" s="523"/>
    </row>
    <row r="122" spans="1:10">
      <c r="A122" s="528"/>
      <c r="B122" s="521"/>
      <c r="C122" s="522"/>
      <c r="D122" s="522"/>
      <c r="E122" s="522"/>
      <c r="F122" s="522"/>
      <c r="G122" s="522"/>
      <c r="H122" s="522"/>
      <c r="I122" s="522"/>
      <c r="J122" s="523"/>
    </row>
    <row r="123" spans="1:10">
      <c r="A123" s="528"/>
      <c r="B123" s="521"/>
      <c r="C123" s="522"/>
      <c r="D123" s="522"/>
      <c r="E123" s="522"/>
      <c r="F123" s="522"/>
      <c r="G123" s="522"/>
      <c r="H123" s="522"/>
      <c r="I123" s="522"/>
      <c r="J123" s="523"/>
    </row>
    <row r="124" spans="1:10">
      <c r="A124" s="528"/>
      <c r="B124" s="521"/>
      <c r="C124" s="522"/>
      <c r="D124" s="522"/>
      <c r="E124" s="522"/>
      <c r="F124" s="522"/>
      <c r="G124" s="522"/>
      <c r="H124" s="522"/>
      <c r="I124" s="522"/>
      <c r="J124" s="523"/>
    </row>
    <row r="125" spans="1:10">
      <c r="A125" s="528"/>
      <c r="B125" s="521"/>
      <c r="C125" s="522"/>
      <c r="D125" s="522"/>
      <c r="E125" s="522"/>
      <c r="F125" s="522"/>
      <c r="G125" s="522"/>
      <c r="H125" s="522"/>
      <c r="I125" s="522"/>
      <c r="J125" s="523"/>
    </row>
    <row r="126" spans="1:10">
      <c r="A126" s="528"/>
      <c r="B126" s="521"/>
      <c r="C126" s="522"/>
      <c r="D126" s="522"/>
      <c r="E126" s="522"/>
      <c r="F126" s="522"/>
      <c r="G126" s="522"/>
      <c r="H126" s="522"/>
      <c r="I126" s="522"/>
      <c r="J126" s="523"/>
    </row>
    <row r="127" spans="1:10">
      <c r="A127" s="528"/>
      <c r="B127" s="521"/>
      <c r="C127" s="522"/>
      <c r="D127" s="522"/>
      <c r="E127" s="522"/>
      <c r="F127" s="522"/>
      <c r="G127" s="522"/>
      <c r="H127" s="522"/>
      <c r="I127" s="522"/>
      <c r="J127" s="523"/>
    </row>
    <row r="128" spans="1:10">
      <c r="A128" s="528"/>
      <c r="B128" s="521"/>
      <c r="C128" s="522"/>
      <c r="D128" s="522"/>
      <c r="E128" s="522"/>
      <c r="F128" s="522"/>
      <c r="G128" s="522"/>
      <c r="H128" s="522"/>
      <c r="I128" s="522"/>
      <c r="J128" s="523"/>
    </row>
    <row r="129" spans="1:10">
      <c r="A129" s="528"/>
      <c r="B129" s="521"/>
      <c r="C129" s="522"/>
      <c r="D129" s="522"/>
      <c r="E129" s="522"/>
      <c r="F129" s="522"/>
      <c r="G129" s="522"/>
      <c r="H129" s="522"/>
      <c r="I129" s="522"/>
      <c r="J129" s="523"/>
    </row>
    <row r="130" spans="1:10">
      <c r="A130" s="528"/>
      <c r="B130" s="521"/>
      <c r="C130" s="522"/>
      <c r="D130" s="522"/>
      <c r="E130" s="522"/>
      <c r="F130" s="522"/>
      <c r="G130" s="522"/>
      <c r="H130" s="522"/>
      <c r="I130" s="522"/>
      <c r="J130" s="523"/>
    </row>
    <row r="131" spans="1:10">
      <c r="A131" s="528"/>
      <c r="B131" s="521"/>
      <c r="C131" s="522"/>
      <c r="D131" s="522"/>
      <c r="E131" s="522"/>
      <c r="F131" s="522"/>
      <c r="G131" s="522"/>
      <c r="H131" s="522"/>
      <c r="I131" s="522"/>
      <c r="J131" s="523"/>
    </row>
    <row r="132" spans="1:10">
      <c r="A132" s="528"/>
      <c r="B132" s="521"/>
      <c r="C132" s="522"/>
      <c r="D132" s="522"/>
      <c r="E132" s="522"/>
      <c r="F132" s="522"/>
      <c r="G132" s="522"/>
      <c r="H132" s="522"/>
      <c r="I132" s="522"/>
      <c r="J132" s="523"/>
    </row>
    <row r="133" spans="1:10">
      <c r="A133" s="528"/>
      <c r="B133" s="521"/>
      <c r="C133" s="522"/>
      <c r="D133" s="522"/>
      <c r="E133" s="522"/>
      <c r="F133" s="522"/>
      <c r="G133" s="522"/>
      <c r="H133" s="522"/>
      <c r="I133" s="522"/>
      <c r="J133" s="523"/>
    </row>
    <row r="134" spans="1:10">
      <c r="A134" s="528"/>
      <c r="B134" s="521"/>
      <c r="C134" s="522"/>
      <c r="D134" s="522"/>
      <c r="E134" s="522"/>
      <c r="F134" s="522"/>
      <c r="G134" s="522"/>
      <c r="H134" s="522"/>
      <c r="I134" s="522"/>
      <c r="J134" s="523"/>
    </row>
    <row r="135" spans="1:10">
      <c r="A135" s="528"/>
      <c r="B135" s="521"/>
      <c r="C135" s="522"/>
      <c r="D135" s="522"/>
      <c r="E135" s="522"/>
      <c r="F135" s="522"/>
      <c r="G135" s="522"/>
      <c r="H135" s="522"/>
      <c r="I135" s="522"/>
      <c r="J135" s="523"/>
    </row>
    <row r="136" spans="1:10">
      <c r="A136" s="528"/>
      <c r="B136" s="521"/>
      <c r="C136" s="522"/>
      <c r="D136" s="522"/>
      <c r="E136" s="522"/>
      <c r="F136" s="522"/>
      <c r="G136" s="522"/>
      <c r="H136" s="522"/>
      <c r="I136" s="522"/>
      <c r="J136" s="523"/>
    </row>
    <row r="137" spans="1:10">
      <c r="A137" s="528"/>
      <c r="B137" s="521"/>
      <c r="C137" s="522"/>
      <c r="D137" s="522"/>
      <c r="E137" s="522"/>
      <c r="F137" s="522"/>
      <c r="G137" s="522"/>
      <c r="H137" s="522"/>
      <c r="I137" s="522"/>
      <c r="J137" s="523"/>
    </row>
    <row r="138" spans="1:10" ht="12.75" thickBot="1">
      <c r="A138" s="529"/>
      <c r="B138" s="524"/>
      <c r="C138" s="525"/>
      <c r="D138" s="525"/>
      <c r="E138" s="525"/>
      <c r="F138" s="525"/>
      <c r="G138" s="525"/>
      <c r="H138" s="525"/>
      <c r="I138" s="525"/>
      <c r="J138" s="526"/>
    </row>
    <row r="150" spans="1:2">
      <c r="A150" s="254" t="b">
        <v>0</v>
      </c>
      <c r="B150" s="254"/>
    </row>
    <row r="151" spans="1:2">
      <c r="A151" s="254" t="b">
        <v>0</v>
      </c>
      <c r="B151" s="254"/>
    </row>
    <row r="203" spans="1:2">
      <c r="A203" s="254" t="b">
        <v>0</v>
      </c>
      <c r="B203" s="254" t="b">
        <v>0</v>
      </c>
    </row>
    <row r="204" spans="1:2">
      <c r="A204" s="254" t="b">
        <v>0</v>
      </c>
      <c r="B204" s="254" t="b">
        <v>0</v>
      </c>
    </row>
    <row r="205" spans="1:2">
      <c r="A205" s="254" t="b">
        <v>0</v>
      </c>
      <c r="B205" s="254" t="b">
        <v>0</v>
      </c>
    </row>
    <row r="206" spans="1:2">
      <c r="A206" s="254">
        <v>4</v>
      </c>
      <c r="B206" s="254" t="b">
        <v>0</v>
      </c>
    </row>
    <row r="207" spans="1:2">
      <c r="A207" s="254" t="b">
        <v>0</v>
      </c>
      <c r="B207" s="254"/>
    </row>
    <row r="208" spans="1:2">
      <c r="A208" s="254" t="b">
        <v>0</v>
      </c>
      <c r="B208" s="254"/>
    </row>
    <row r="209" spans="1:2">
      <c r="A209" s="254" t="b">
        <v>0</v>
      </c>
      <c r="B209" s="254"/>
    </row>
    <row r="210" spans="1:2">
      <c r="A210" s="254" t="b">
        <v>0</v>
      </c>
      <c r="B210" s="254"/>
    </row>
    <row r="211" spans="1:2">
      <c r="A211" s="254" t="b">
        <v>0</v>
      </c>
      <c r="B211" s="254"/>
    </row>
    <row r="212" spans="1:2">
      <c r="A212" s="254" t="b">
        <v>0</v>
      </c>
      <c r="B212" s="254"/>
    </row>
    <row r="213" spans="1:2">
      <c r="A213" s="254" t="b">
        <v>0</v>
      </c>
      <c r="B213" s="254"/>
    </row>
    <row r="214" spans="1:2">
      <c r="A214" s="254" t="b">
        <v>0</v>
      </c>
      <c r="B214" s="254"/>
    </row>
    <row r="215" spans="1:2">
      <c r="A215" s="254" t="b">
        <v>0</v>
      </c>
      <c r="B215" s="254"/>
    </row>
    <row r="216" spans="1:2">
      <c r="A216" s="254" t="b">
        <v>1</v>
      </c>
      <c r="B216" s="254">
        <f>IF(A216=TRUE,1,0)</f>
        <v>1</v>
      </c>
    </row>
    <row r="217" spans="1:2">
      <c r="A217" s="254"/>
      <c r="B217" s="254"/>
    </row>
    <row r="218" spans="1:2">
      <c r="A218" s="254" t="b">
        <v>0</v>
      </c>
      <c r="B218" s="254"/>
    </row>
    <row r="219" spans="1:2">
      <c r="A219" s="254" t="b">
        <v>0</v>
      </c>
      <c r="B219" s="254"/>
    </row>
    <row r="220" spans="1:2">
      <c r="A220" s="254" t="b">
        <v>1</v>
      </c>
      <c r="B220" s="254"/>
    </row>
    <row r="221" spans="1:2">
      <c r="A221" s="254"/>
      <c r="B221" s="254"/>
    </row>
    <row r="222" spans="1:2">
      <c r="A222" s="254"/>
      <c r="B222" s="254"/>
    </row>
    <row r="223" spans="1:2">
      <c r="A223" s="254"/>
      <c r="B223" s="254"/>
    </row>
    <row r="224" spans="1:2">
      <c r="A224" s="254"/>
      <c r="B224" s="254"/>
    </row>
    <row r="225" spans="1:2">
      <c r="A225" s="254"/>
      <c r="B225" s="254"/>
    </row>
    <row r="226" spans="1:2">
      <c r="A226" s="254"/>
      <c r="B226" s="254"/>
    </row>
    <row r="227" spans="1:2">
      <c r="A227" s="254"/>
      <c r="B227" s="254"/>
    </row>
    <row r="228" spans="1:2">
      <c r="A228" s="254"/>
      <c r="B228" s="254"/>
    </row>
    <row r="229" spans="1:2">
      <c r="A229" s="254"/>
      <c r="B229" s="254"/>
    </row>
    <row r="230" spans="1:2">
      <c r="A230" s="254"/>
      <c r="B230" s="254"/>
    </row>
    <row r="231" spans="1:2">
      <c r="A231" s="254"/>
      <c r="B231" s="254"/>
    </row>
    <row r="232" spans="1:2">
      <c r="A232" s="254"/>
      <c r="B232" s="254"/>
    </row>
    <row r="233" spans="1:2">
      <c r="A233" s="254" t="e">
        <f>#REF!</f>
        <v>#REF!</v>
      </c>
      <c r="B233" s="254"/>
    </row>
    <row r="234" spans="1:2">
      <c r="A234" s="254"/>
      <c r="B234" s="254"/>
    </row>
  </sheetData>
  <sheetProtection sheet="1" scenarios="1" formatColumns="0" formatRows="0"/>
  <protectedRanges>
    <protectedRange sqref="U33:W33" name="Bereich4"/>
    <protectedRange sqref="W32" name="Bereich2_2" securityDescriptor="O:WDG:WDD:(A;;CC;;;S-1-5-21-3372838071-1868916369-4143889494-1499)"/>
    <protectedRange sqref="V32" name="Bereich2_1" securityDescriptor="O:WDG:WDD:(A;;CC;;;S-1-5-21-3372838071-1868916369-4143889494-1499)"/>
    <protectedRange sqref="U32" name="Bereich2" securityDescriptor="O:WDG:WDD:(A;;CC;;;S-1-5-21-3372838071-1868916369-4143889494-1499)"/>
  </protectedRanges>
  <mergeCells count="144">
    <mergeCell ref="D29:F29"/>
    <mergeCell ref="G30:H30"/>
    <mergeCell ref="M13:P13"/>
    <mergeCell ref="M15:P15"/>
    <mergeCell ref="W12:W13"/>
    <mergeCell ref="R12:S13"/>
    <mergeCell ref="R14:S15"/>
    <mergeCell ref="D28:F28"/>
    <mergeCell ref="B27:C27"/>
    <mergeCell ref="G23:J23"/>
    <mergeCell ref="I27:J27"/>
    <mergeCell ref="D27:F27"/>
    <mergeCell ref="G26:J26"/>
    <mergeCell ref="G28:H28"/>
    <mergeCell ref="I28:J28"/>
    <mergeCell ref="B28:C33"/>
    <mergeCell ref="G32:H33"/>
    <mergeCell ref="G27:H27"/>
    <mergeCell ref="D32:F33"/>
    <mergeCell ref="I29:J29"/>
    <mergeCell ref="I30:J30"/>
    <mergeCell ref="I32:J33"/>
    <mergeCell ref="I31:J31"/>
    <mergeCell ref="I22:J22"/>
    <mergeCell ref="C16:J16"/>
    <mergeCell ref="B18:J18"/>
    <mergeCell ref="T6:T7"/>
    <mergeCell ref="U6:U7"/>
    <mergeCell ref="R6:S7"/>
    <mergeCell ref="I6:J6"/>
    <mergeCell ref="B7:C7"/>
    <mergeCell ref="V6:V7"/>
    <mergeCell ref="T3:T5"/>
    <mergeCell ref="R3:S5"/>
    <mergeCell ref="L3:P10"/>
    <mergeCell ref="G8:H8"/>
    <mergeCell ref="R10:S11"/>
    <mergeCell ref="G9:H9"/>
    <mergeCell ref="D4:D5"/>
    <mergeCell ref="G6:H6"/>
    <mergeCell ref="G7:H7"/>
    <mergeCell ref="G11:H11"/>
    <mergeCell ref="I7:J7"/>
    <mergeCell ref="E4:F5"/>
    <mergeCell ref="B8:F14"/>
    <mergeCell ref="I10:J10"/>
    <mergeCell ref="I11:J11"/>
    <mergeCell ref="G10:H10"/>
    <mergeCell ref="I8:J8"/>
    <mergeCell ref="I12:J12"/>
    <mergeCell ref="U46:V46"/>
    <mergeCell ref="AD58:AD59"/>
    <mergeCell ref="R27:S33"/>
    <mergeCell ref="M30:P30"/>
    <mergeCell ref="U47:V47"/>
    <mergeCell ref="M27:P27"/>
    <mergeCell ref="R35:T35"/>
    <mergeCell ref="V14:V15"/>
    <mergeCell ref="U14:U15"/>
    <mergeCell ref="M14:P14"/>
    <mergeCell ref="S26:W26"/>
    <mergeCell ref="M28:P28"/>
    <mergeCell ref="R18:W24"/>
    <mergeCell ref="M17:P17"/>
    <mergeCell ref="S17:W17"/>
    <mergeCell ref="T14:T15"/>
    <mergeCell ref="W14:W15"/>
    <mergeCell ref="M29:P29"/>
    <mergeCell ref="L18:P26"/>
    <mergeCell ref="S25:W25"/>
    <mergeCell ref="L32:P33"/>
    <mergeCell ref="N16:P16"/>
    <mergeCell ref="W8:W9"/>
    <mergeCell ref="D7:F7"/>
    <mergeCell ref="B15:C15"/>
    <mergeCell ref="S2:W2"/>
    <mergeCell ref="B4:C5"/>
    <mergeCell ref="V3:V5"/>
    <mergeCell ref="U3:U5"/>
    <mergeCell ref="B3:J3"/>
    <mergeCell ref="C2:J2"/>
    <mergeCell ref="M2:P2"/>
    <mergeCell ref="W3:W5"/>
    <mergeCell ref="R8:S9"/>
    <mergeCell ref="V10:V11"/>
    <mergeCell ref="M11:P11"/>
    <mergeCell ref="V8:V9"/>
    <mergeCell ref="T10:T11"/>
    <mergeCell ref="U10:U11"/>
    <mergeCell ref="B6:C6"/>
    <mergeCell ref="W10:W11"/>
    <mergeCell ref="U8:U9"/>
    <mergeCell ref="G4:H5"/>
    <mergeCell ref="E6:F6"/>
    <mergeCell ref="I4:J5"/>
    <mergeCell ref="W6:W7"/>
    <mergeCell ref="D31:F31"/>
    <mergeCell ref="G31:H31"/>
    <mergeCell ref="G29:H29"/>
    <mergeCell ref="D30:F30"/>
    <mergeCell ref="M31:P31"/>
    <mergeCell ref="I9:J9"/>
    <mergeCell ref="V12:V13"/>
    <mergeCell ref="T12:T13"/>
    <mergeCell ref="U12:U13"/>
    <mergeCell ref="T8:T9"/>
    <mergeCell ref="I13:J13"/>
    <mergeCell ref="I15:J15"/>
    <mergeCell ref="G15:H15"/>
    <mergeCell ref="G12:H12"/>
    <mergeCell ref="G13:H13"/>
    <mergeCell ref="M12:P12"/>
    <mergeCell ref="G24:J24"/>
    <mergeCell ref="C17:J17"/>
    <mergeCell ref="B19:J19"/>
    <mergeCell ref="D15:F15"/>
    <mergeCell ref="B23:C26"/>
    <mergeCell ref="G25:J25"/>
    <mergeCell ref="C22:F22"/>
    <mergeCell ref="B20:J20"/>
    <mergeCell ref="C100:J100"/>
    <mergeCell ref="G35:H35"/>
    <mergeCell ref="B35:C35"/>
    <mergeCell ref="D35:F35"/>
    <mergeCell ref="U41:V41"/>
    <mergeCell ref="U42:V42"/>
    <mergeCell ref="U43:V43"/>
    <mergeCell ref="AD49:AD50"/>
    <mergeCell ref="AD52:AD53"/>
    <mergeCell ref="AD55:AD56"/>
    <mergeCell ref="AD67:AD68"/>
    <mergeCell ref="L35:M35"/>
    <mergeCell ref="AD70:AD71"/>
    <mergeCell ref="AD37:AD38"/>
    <mergeCell ref="AD40:AD41"/>
    <mergeCell ref="AD43:AD44"/>
    <mergeCell ref="AD46:AD47"/>
    <mergeCell ref="U35:W35"/>
    <mergeCell ref="U39:V39"/>
    <mergeCell ref="U40:V40"/>
    <mergeCell ref="I35:J35"/>
    <mergeCell ref="AD61:AD62"/>
    <mergeCell ref="U44:V44"/>
    <mergeCell ref="U45:V45"/>
  </mergeCells>
  <phoneticPr fontId="0" type="noConversion"/>
  <conditionalFormatting sqref="G14:J14">
    <cfRule type="expression" dxfId="23" priority="10" stopIfTrue="1">
      <formula>$A$211=TRUE</formula>
    </cfRule>
  </conditionalFormatting>
  <conditionalFormatting sqref="T33">
    <cfRule type="cellIs" dxfId="22" priority="12" stopIfTrue="1" operator="equal">
      <formula>0</formula>
    </cfRule>
  </conditionalFormatting>
  <conditionalFormatting sqref="R25:W25">
    <cfRule type="expression" dxfId="21" priority="13" stopIfTrue="1">
      <formula>$A$210=TRUE</formula>
    </cfRule>
  </conditionalFormatting>
  <conditionalFormatting sqref="R35:T35 B2 B17 B22 R2 L17 R26 R17 L2">
    <cfRule type="expression" dxfId="20" priority="14" stopIfTrue="1">
      <formula>$B$216&gt;0</formula>
    </cfRule>
  </conditionalFormatting>
  <conditionalFormatting sqref="U35:W35">
    <cfRule type="cellIs" dxfId="19" priority="15" stopIfTrue="1" operator="between">
      <formula>80</formula>
      <formula>100</formula>
    </cfRule>
    <cfRule type="cellIs" dxfId="18" priority="16" stopIfTrue="1" operator="between">
      <formula>-70</formula>
      <formula>69</formula>
    </cfRule>
    <cfRule type="cellIs" dxfId="17" priority="17" stopIfTrue="1" operator="between">
      <formula>70</formula>
      <formula>80</formula>
    </cfRule>
  </conditionalFormatting>
  <conditionalFormatting sqref="L32">
    <cfRule type="expression" dxfId="16" priority="19" stopIfTrue="1">
      <formula>OR($M$11&lt;&gt;"",$M$12&lt;&gt;"",$M$13&lt;&gt;"",$M$14&lt;&gt;"")</formula>
    </cfRule>
  </conditionalFormatting>
  <dataValidations xWindow="1027" yWindow="434" count="11">
    <dataValidation type="list" allowBlank="1" showInputMessage="1" showErrorMessage="1" sqref="W6:W14 W28:W31" xr:uid="{00000000-0002-0000-0100-000000000000}">
      <formula1>$Y$7:$Y$10</formula1>
    </dataValidation>
    <dataValidation allowBlank="1" showInputMessage="1" showErrorMessage="1" errorTitle="Should be fullfiled by SQA" sqref="G24:J24" xr:uid="{00000000-0002-0000-0100-000001000000}"/>
    <dataValidation type="date" allowBlank="1" showInputMessage="1" showErrorMessage="1" errorTitle="W R O N G     D A T E    F O R M" error="Please correct the date FORM (DD/MM/YYYY)_x000a_example: 12/01/2013" promptTitle="please input the date " sqref="I6:J6" xr:uid="{00000000-0002-0000-0100-000002000000}">
      <formula1>41365</formula1>
      <formula2>56615</formula2>
    </dataValidation>
    <dataValidation allowBlank="1" showInputMessage="1" showErrorMessage="1" promptTitle="IT IS" sqref="I7:J7" xr:uid="{00000000-0002-0000-0100-000003000000}"/>
    <dataValidation type="whole" allowBlank="1" showInputMessage="1" showErrorMessage="1" errorTitle="wrong number format" error="please input the NUMBER=QUANTITY of rejected parts" sqref="I12:J12" xr:uid="{00000000-0002-0000-0100-000004000000}">
      <formula1>1</formula1>
      <formula2>100000</formula2>
    </dataValidation>
    <dataValidation type="whole" allowBlank="1" showInputMessage="1" showErrorMessage="1" errorTitle="PROTECTED AREA" error="You shall input the data in Statistics(D3+D7) sheet" sqref="E24:F26" xr:uid="{00000000-0002-0000-0100-000005000000}">
      <formula1>-2</formula1>
      <formula2>-1</formula2>
    </dataValidation>
    <dataValidation type="decimal" allowBlank="1" showInputMessage="1" showErrorMessage="1" errorTitle="PROTECTED AREA" error="The START DATE is automatically copied from line I6._x000a_You shall not write here." sqref="N35" xr:uid="{00000000-0002-0000-0100-000006000000}">
      <formula1>-2</formula1>
      <formula2>-1</formula2>
    </dataValidation>
    <dataValidation type="date" allowBlank="1" showInputMessage="1" showErrorMessage="1" errorTitle="W R O N G    D A T E    F O R M" error="Please correct the date FORM (DD.MM.YYYY)_x000a_example: 12.01.2013" sqref="P35" xr:uid="{00000000-0002-0000-0100-000007000000}">
      <formula1>41365</formula1>
      <formula2>56615</formula2>
    </dataValidation>
    <dataValidation type="whole" allowBlank="1" showInputMessage="1" showErrorMessage="1" errorTitle="WRONG DATA INPUT" error="You shall input the number between 1-10" sqref="U33:W33" xr:uid="{00000000-0002-0000-0100-000008000000}">
      <formula1>1</formula1>
      <formula2>10</formula2>
    </dataValidation>
    <dataValidation type="whole" allowBlank="1" showInputMessage="1" showErrorMessage="1" errorTitle="ONLY FOR READING" error="This is 8D evaluation statement in %" promptTitle="ONLY FOR READING" sqref="U35:W35" xr:uid="{00000000-0002-0000-0100-000009000000}">
      <formula1>-2</formula1>
      <formula2>-1</formula2>
    </dataValidation>
    <dataValidation allowBlank="1" showInputMessage="1" showErrorMessage="1" promptTitle="ROOT CAUSES" prompt="are automatically taken out from sheet &quot;5WHY&quot; Double click to get there." sqref="M11:P15 M27:P31" xr:uid="{00000000-0002-0000-0100-00000A000000}"/>
  </dataValidations>
  <pageMargins left="0.70866141732283472" right="0.70866141732283472" top="0.74803149606299213" bottom="0.74803149606299213" header="0.31496062992125984" footer="0.31496062992125984"/>
  <pageSetup paperSize="9" scale="19"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64" r:id="rId5" name="Check Box 64">
              <controlPr defaultSize="0" autoFill="0" autoLine="0" autoPict="0">
                <anchor moveWithCells="1" sizeWithCells="1">
                  <from>
                    <xdr:col>7</xdr:col>
                    <xdr:colOff>0</xdr:colOff>
                    <xdr:row>21</xdr:row>
                    <xdr:rowOff>466725</xdr:rowOff>
                  </from>
                  <to>
                    <xdr:col>7</xdr:col>
                    <xdr:colOff>895350</xdr:colOff>
                    <xdr:row>21</xdr:row>
                    <xdr:rowOff>704850</xdr:rowOff>
                  </to>
                </anchor>
              </controlPr>
            </control>
          </mc:Choice>
        </mc:AlternateContent>
        <mc:AlternateContent xmlns:mc="http://schemas.openxmlformats.org/markup-compatibility/2006">
          <mc:Choice Requires="x14">
            <control shapeId="51265" r:id="rId6" name="Check Box 65">
              <controlPr defaultSize="0" autoFill="0" autoLine="0" autoPict="0">
                <anchor moveWithCells="1" sizeWithCells="1">
                  <from>
                    <xdr:col>7</xdr:col>
                    <xdr:colOff>0</xdr:colOff>
                    <xdr:row>21</xdr:row>
                    <xdr:rowOff>209550</xdr:rowOff>
                  </from>
                  <to>
                    <xdr:col>7</xdr:col>
                    <xdr:colOff>895350</xdr:colOff>
                    <xdr:row>21</xdr:row>
                    <xdr:rowOff>485775</xdr:rowOff>
                  </to>
                </anchor>
              </controlPr>
            </control>
          </mc:Choice>
        </mc:AlternateContent>
        <mc:AlternateContent xmlns:mc="http://schemas.openxmlformats.org/markup-compatibility/2006">
          <mc:Choice Requires="x14">
            <control shapeId="51312" r:id="rId7" name="Check Box 112">
              <controlPr defaultSize="0" autoFill="0" autoLine="0" autoPict="0">
                <anchor moveWithCells="1" sizeWithCells="1">
                  <from>
                    <xdr:col>6</xdr:col>
                    <xdr:colOff>276225</xdr:colOff>
                    <xdr:row>12</xdr:row>
                    <xdr:rowOff>123825</xdr:rowOff>
                  </from>
                  <to>
                    <xdr:col>7</xdr:col>
                    <xdr:colOff>1533525</xdr:colOff>
                    <xdr:row>12</xdr:row>
                    <xdr:rowOff>523875</xdr:rowOff>
                  </to>
                </anchor>
              </controlPr>
            </control>
          </mc:Choice>
        </mc:AlternateContent>
        <mc:AlternateContent xmlns:mc="http://schemas.openxmlformats.org/markup-compatibility/2006">
          <mc:Choice Requires="x14">
            <control shapeId="51313" r:id="rId8" name="Check Box 113">
              <controlPr defaultSize="0" autoFill="0" autoLine="0" autoPict="0">
                <anchor moveWithCells="1" sizeWithCells="1">
                  <from>
                    <xdr:col>8</xdr:col>
                    <xdr:colOff>152400</xdr:colOff>
                    <xdr:row>12</xdr:row>
                    <xdr:rowOff>123825</xdr:rowOff>
                  </from>
                  <to>
                    <xdr:col>9</xdr:col>
                    <xdr:colOff>495300</xdr:colOff>
                    <xdr:row>12</xdr:row>
                    <xdr:rowOff>523875</xdr:rowOff>
                  </to>
                </anchor>
              </controlPr>
            </control>
          </mc:Choice>
        </mc:AlternateContent>
        <mc:AlternateContent xmlns:mc="http://schemas.openxmlformats.org/markup-compatibility/2006">
          <mc:Choice Requires="x14">
            <control shapeId="51324" r:id="rId9" name="Spinner 124">
              <controlPr defaultSize="0" autoPict="0">
                <anchor moveWithCells="1" sizeWithCells="1">
                  <from>
                    <xdr:col>2</xdr:col>
                    <xdr:colOff>38100</xdr:colOff>
                    <xdr:row>21</xdr:row>
                    <xdr:rowOff>171450</xdr:rowOff>
                  </from>
                  <to>
                    <xdr:col>2</xdr:col>
                    <xdr:colOff>238125</xdr:colOff>
                    <xdr:row>21</xdr:row>
                    <xdr:rowOff>628650</xdr:rowOff>
                  </to>
                </anchor>
              </controlPr>
            </control>
          </mc:Choice>
        </mc:AlternateContent>
        <mc:AlternateContent xmlns:mc="http://schemas.openxmlformats.org/markup-compatibility/2006">
          <mc:Choice Requires="x14">
            <control shapeId="51325" r:id="rId10" name="Spinner 125">
              <controlPr defaultSize="0" autoPict="0">
                <anchor moveWithCells="1" sizeWithCells="1">
                  <from>
                    <xdr:col>1</xdr:col>
                    <xdr:colOff>314325</xdr:colOff>
                    <xdr:row>1</xdr:row>
                    <xdr:rowOff>228600</xdr:rowOff>
                  </from>
                  <to>
                    <xdr:col>2</xdr:col>
                    <xdr:colOff>114300</xdr:colOff>
                    <xdr:row>1</xdr:row>
                    <xdr:rowOff>685800</xdr:rowOff>
                  </to>
                </anchor>
              </controlPr>
            </control>
          </mc:Choice>
        </mc:AlternateContent>
        <mc:AlternateContent xmlns:mc="http://schemas.openxmlformats.org/markup-compatibility/2006">
          <mc:Choice Requires="x14">
            <control shapeId="51326" r:id="rId11" name="Spinner 126">
              <controlPr defaultSize="0" autoPict="0">
                <anchor moveWithCells="1" sizeWithCells="1">
                  <from>
                    <xdr:col>2</xdr:col>
                    <xdr:colOff>19050</xdr:colOff>
                    <xdr:row>16</xdr:row>
                    <xdr:rowOff>142875</xdr:rowOff>
                  </from>
                  <to>
                    <xdr:col>2</xdr:col>
                    <xdr:colOff>219075</xdr:colOff>
                    <xdr:row>16</xdr:row>
                    <xdr:rowOff>600075</xdr:rowOff>
                  </to>
                </anchor>
              </controlPr>
            </control>
          </mc:Choice>
        </mc:AlternateContent>
        <mc:AlternateContent xmlns:mc="http://schemas.openxmlformats.org/markup-compatibility/2006">
          <mc:Choice Requires="x14">
            <control shapeId="51329" r:id="rId12" name="Spinner 129">
              <controlPr defaultSize="0" autoPict="0">
                <anchor moveWithCells="1" sizeWithCells="1">
                  <from>
                    <xdr:col>12</xdr:col>
                    <xdr:colOff>0</xdr:colOff>
                    <xdr:row>16</xdr:row>
                    <xdr:rowOff>152400</xdr:rowOff>
                  </from>
                  <to>
                    <xdr:col>12</xdr:col>
                    <xdr:colOff>200025</xdr:colOff>
                    <xdr:row>16</xdr:row>
                    <xdr:rowOff>609600</xdr:rowOff>
                  </to>
                </anchor>
              </controlPr>
            </control>
          </mc:Choice>
        </mc:AlternateContent>
        <mc:AlternateContent xmlns:mc="http://schemas.openxmlformats.org/markup-compatibility/2006">
          <mc:Choice Requires="x14">
            <control shapeId="51330" r:id="rId13" name="Spinner 130">
              <controlPr defaultSize="0" autoPict="0">
                <anchor moveWithCells="1" sizeWithCells="1">
                  <from>
                    <xdr:col>11</xdr:col>
                    <xdr:colOff>381000</xdr:colOff>
                    <xdr:row>1</xdr:row>
                    <xdr:rowOff>228600</xdr:rowOff>
                  </from>
                  <to>
                    <xdr:col>12</xdr:col>
                    <xdr:colOff>76200</xdr:colOff>
                    <xdr:row>1</xdr:row>
                    <xdr:rowOff>685800</xdr:rowOff>
                  </to>
                </anchor>
              </controlPr>
            </control>
          </mc:Choice>
        </mc:AlternateContent>
        <mc:AlternateContent xmlns:mc="http://schemas.openxmlformats.org/markup-compatibility/2006">
          <mc:Choice Requires="x14">
            <control shapeId="51331" r:id="rId14" name="Spinner 131">
              <controlPr defaultSize="0" autoPict="0">
                <anchor moveWithCells="1" sizeWithCells="1">
                  <from>
                    <xdr:col>18</xdr:col>
                    <xdr:colOff>104775</xdr:colOff>
                    <xdr:row>25</xdr:row>
                    <xdr:rowOff>38100</xdr:rowOff>
                  </from>
                  <to>
                    <xdr:col>18</xdr:col>
                    <xdr:colOff>304800</xdr:colOff>
                    <xdr:row>25</xdr:row>
                    <xdr:rowOff>495300</xdr:rowOff>
                  </to>
                </anchor>
              </controlPr>
            </control>
          </mc:Choice>
        </mc:AlternateContent>
        <mc:AlternateContent xmlns:mc="http://schemas.openxmlformats.org/markup-compatibility/2006">
          <mc:Choice Requires="x14">
            <control shapeId="51332" r:id="rId15" name="Spinner 132">
              <controlPr defaultSize="0" autoPict="0">
                <anchor moveWithCells="1" sizeWithCells="1">
                  <from>
                    <xdr:col>18</xdr:col>
                    <xdr:colOff>123825</xdr:colOff>
                    <xdr:row>16</xdr:row>
                    <xdr:rowOff>152400</xdr:rowOff>
                  </from>
                  <to>
                    <xdr:col>18</xdr:col>
                    <xdr:colOff>323850</xdr:colOff>
                    <xdr:row>16</xdr:row>
                    <xdr:rowOff>609600</xdr:rowOff>
                  </to>
                </anchor>
              </controlPr>
            </control>
          </mc:Choice>
        </mc:AlternateContent>
        <mc:AlternateContent xmlns:mc="http://schemas.openxmlformats.org/markup-compatibility/2006">
          <mc:Choice Requires="x14">
            <control shapeId="51333" r:id="rId16" name="Spinner 133">
              <controlPr defaultSize="0" autoPict="0">
                <anchor moveWithCells="1" sizeWithCells="1">
                  <from>
                    <xdr:col>18</xdr:col>
                    <xdr:colOff>66675</xdr:colOff>
                    <xdr:row>1</xdr:row>
                    <xdr:rowOff>190500</xdr:rowOff>
                  </from>
                  <to>
                    <xdr:col>18</xdr:col>
                    <xdr:colOff>266700</xdr:colOff>
                    <xdr:row>1</xdr:row>
                    <xdr:rowOff>647700</xdr:rowOff>
                  </to>
                </anchor>
              </controlPr>
            </control>
          </mc:Choice>
        </mc:AlternateContent>
        <mc:AlternateContent xmlns:mc="http://schemas.openxmlformats.org/markup-compatibility/2006">
          <mc:Choice Requires="x14">
            <control shapeId="51334" r:id="rId17" name="Check Box 134">
              <controlPr defaultSize="0" autoFill="0" autoLine="0" autoPict="0">
                <anchor moveWithCells="1" sizeWithCells="1">
                  <from>
                    <xdr:col>17</xdr:col>
                    <xdr:colOff>85725</xdr:colOff>
                    <xdr:row>24</xdr:row>
                    <xdr:rowOff>85725</xdr:rowOff>
                  </from>
                  <to>
                    <xdr:col>22</xdr:col>
                    <xdr:colOff>1000125</xdr:colOff>
                    <xdr:row>24</xdr:row>
                    <xdr:rowOff>466725</xdr:rowOff>
                  </to>
                </anchor>
              </controlPr>
            </control>
          </mc:Choice>
        </mc:AlternateContent>
        <mc:AlternateContent xmlns:mc="http://schemas.openxmlformats.org/markup-compatibility/2006">
          <mc:Choice Requires="x14">
            <control shapeId="51349" r:id="rId18" name="Check Box 149">
              <controlPr defaultSize="0" autoFill="0" autoLine="0" autoPict="0">
                <anchor moveWithCells="1" sizeWithCells="1">
                  <from>
                    <xdr:col>12</xdr:col>
                    <xdr:colOff>209550</xdr:colOff>
                    <xdr:row>16</xdr:row>
                    <xdr:rowOff>0</xdr:rowOff>
                  </from>
                  <to>
                    <xdr:col>13</xdr:col>
                    <xdr:colOff>542925</xdr:colOff>
                    <xdr:row>16</xdr:row>
                    <xdr:rowOff>352425</xdr:rowOff>
                  </to>
                </anchor>
              </controlPr>
            </control>
          </mc:Choice>
        </mc:AlternateContent>
        <mc:AlternateContent xmlns:mc="http://schemas.openxmlformats.org/markup-compatibility/2006">
          <mc:Choice Requires="x14">
            <control shapeId="51361" r:id="rId19" name="Check Box 161">
              <controlPr defaultSize="0" autoFill="0" autoLine="0" autoPict="0">
                <anchor moveWithCells="1" sizeWithCells="1">
                  <from>
                    <xdr:col>18</xdr:col>
                    <xdr:colOff>314325</xdr:colOff>
                    <xdr:row>1</xdr:row>
                    <xdr:rowOff>47625</xdr:rowOff>
                  </from>
                  <to>
                    <xdr:col>19</xdr:col>
                    <xdr:colOff>1085850</xdr:colOff>
                    <xdr:row>1</xdr:row>
                    <xdr:rowOff>447675</xdr:rowOff>
                  </to>
                </anchor>
              </controlPr>
            </control>
          </mc:Choice>
        </mc:AlternateContent>
        <mc:AlternateContent xmlns:mc="http://schemas.openxmlformats.org/markup-compatibility/2006">
          <mc:Choice Requires="x14">
            <control shapeId="51376" r:id="rId20" name="Check Box 176">
              <controlPr defaultSize="0" autoFill="0" autoLine="0" autoPict="0">
                <anchor moveWithCells="1" sizeWithCells="1">
                  <from>
                    <xdr:col>18</xdr:col>
                    <xdr:colOff>400050</xdr:colOff>
                    <xdr:row>25</xdr:row>
                    <xdr:rowOff>0</xdr:rowOff>
                  </from>
                  <to>
                    <xdr:col>19</xdr:col>
                    <xdr:colOff>1228725</xdr:colOff>
                    <xdr:row>25</xdr:row>
                    <xdr:rowOff>390525</xdr:rowOff>
                  </to>
                </anchor>
              </controlPr>
            </control>
          </mc:Choice>
        </mc:AlternateContent>
        <mc:AlternateContent xmlns:mc="http://schemas.openxmlformats.org/markup-compatibility/2006">
          <mc:Choice Requires="x14">
            <control shapeId="51377" r:id="rId21" name="Check Box 177">
              <controlPr defaultSize="0" autoFill="0" autoLine="0" autoPict="0">
                <anchor moveWithCells="1" sizeWithCells="1">
                  <from>
                    <xdr:col>7</xdr:col>
                    <xdr:colOff>9525</xdr:colOff>
                    <xdr:row>21</xdr:row>
                    <xdr:rowOff>28575</xdr:rowOff>
                  </from>
                  <to>
                    <xdr:col>7</xdr:col>
                    <xdr:colOff>895350</xdr:colOff>
                    <xdr:row>21</xdr:row>
                    <xdr:rowOff>276225</xdr:rowOff>
                  </to>
                </anchor>
              </controlPr>
            </control>
          </mc:Choice>
        </mc:AlternateContent>
        <mc:AlternateContent xmlns:mc="http://schemas.openxmlformats.org/markup-compatibility/2006">
          <mc:Choice Requires="x14">
            <control shapeId="51391" r:id="rId22" name="Option Button 191">
              <controlPr defaultSize="0" autoFill="0" autoLine="0" autoPict="0" macro="[0]!OptionButton191_Click">
                <anchor moveWithCells="1" sizeWithCells="1">
                  <from>
                    <xdr:col>2</xdr:col>
                    <xdr:colOff>714375</xdr:colOff>
                    <xdr:row>0</xdr:row>
                    <xdr:rowOff>800100</xdr:rowOff>
                  </from>
                  <to>
                    <xdr:col>2</xdr:col>
                    <xdr:colOff>1143000</xdr:colOff>
                    <xdr:row>0</xdr:row>
                    <xdr:rowOff>1085850</xdr:rowOff>
                  </to>
                </anchor>
              </controlPr>
            </control>
          </mc:Choice>
        </mc:AlternateContent>
        <mc:AlternateContent xmlns:mc="http://schemas.openxmlformats.org/markup-compatibility/2006">
          <mc:Choice Requires="x14">
            <control shapeId="51392" r:id="rId23" name="Option Button 192">
              <controlPr defaultSize="0" autoFill="0" autoLine="0" autoPict="0" macro="[0]!OptionButton192_Click">
                <anchor moveWithCells="1" sizeWithCells="1">
                  <from>
                    <xdr:col>2</xdr:col>
                    <xdr:colOff>1885950</xdr:colOff>
                    <xdr:row>0</xdr:row>
                    <xdr:rowOff>800100</xdr:rowOff>
                  </from>
                  <to>
                    <xdr:col>3</xdr:col>
                    <xdr:colOff>142875</xdr:colOff>
                    <xdr:row>0</xdr:row>
                    <xdr:rowOff>1085850</xdr:rowOff>
                  </to>
                </anchor>
              </controlPr>
            </control>
          </mc:Choice>
        </mc:AlternateContent>
        <mc:AlternateContent xmlns:mc="http://schemas.openxmlformats.org/markup-compatibility/2006">
          <mc:Choice Requires="x14">
            <control shapeId="51423" r:id="rId24" name="Check Box 223">
              <controlPr defaultSize="0" autoFill="0" autoLine="0" autoPict="0">
                <anchor moveWithCells="1" sizeWithCells="1">
                  <from>
                    <xdr:col>17</xdr:col>
                    <xdr:colOff>123825</xdr:colOff>
                    <xdr:row>34</xdr:row>
                    <xdr:rowOff>38100</xdr:rowOff>
                  </from>
                  <to>
                    <xdr:col>19</xdr:col>
                    <xdr:colOff>304800</xdr:colOff>
                    <xdr:row>34</xdr:row>
                    <xdr:rowOff>609600</xdr:rowOff>
                  </to>
                </anchor>
              </controlPr>
            </control>
          </mc:Choice>
        </mc:AlternateContent>
        <mc:AlternateContent xmlns:mc="http://schemas.openxmlformats.org/markup-compatibility/2006">
          <mc:Choice Requires="x14">
            <control shapeId="51439" r:id="rId25" name="Option Button 239">
              <controlPr defaultSize="0" autoFill="0" autoLine="0" autoPict="0" macro="[0]!OptionButton239_Click">
                <anchor moveWithCells="1" sizeWithCells="1">
                  <from>
                    <xdr:col>3</xdr:col>
                    <xdr:colOff>952500</xdr:colOff>
                    <xdr:row>0</xdr:row>
                    <xdr:rowOff>809625</xdr:rowOff>
                  </from>
                  <to>
                    <xdr:col>3</xdr:col>
                    <xdr:colOff>1438275</xdr:colOff>
                    <xdr:row>0</xdr:row>
                    <xdr:rowOff>1076325</xdr:rowOff>
                  </to>
                </anchor>
              </controlPr>
            </control>
          </mc:Choice>
        </mc:AlternateContent>
        <mc:AlternateContent xmlns:mc="http://schemas.openxmlformats.org/markup-compatibility/2006">
          <mc:Choice Requires="x14">
            <control shapeId="51440" r:id="rId26" name="Option Button 240">
              <controlPr defaultSize="0" autoFill="0" autoLine="0" autoPict="0" macro="[0]!OptionButtonSpanisg_Click">
                <anchor moveWithCells="1" sizeWithCells="1">
                  <from>
                    <xdr:col>6</xdr:col>
                    <xdr:colOff>152400</xdr:colOff>
                    <xdr:row>0</xdr:row>
                    <xdr:rowOff>800100</xdr:rowOff>
                  </from>
                  <to>
                    <xdr:col>6</xdr:col>
                    <xdr:colOff>657225</xdr:colOff>
                    <xdr:row>1</xdr:row>
                    <xdr:rowOff>0</xdr:rowOff>
                  </to>
                </anchor>
              </controlPr>
            </control>
          </mc:Choice>
        </mc:AlternateContent>
        <mc:AlternateContent xmlns:mc="http://schemas.openxmlformats.org/markup-compatibility/2006">
          <mc:Choice Requires="x14">
            <control shapeId="51473" r:id="rId27" name="Check Box 273">
              <controlPr defaultSize="0" autoFill="0" autoLine="0" autoPict="0">
                <anchor moveWithCells="1" sizeWithCells="1">
                  <from>
                    <xdr:col>5</xdr:col>
                    <xdr:colOff>781050</xdr:colOff>
                    <xdr:row>13</xdr:row>
                    <xdr:rowOff>0</xdr:rowOff>
                  </from>
                  <to>
                    <xdr:col>6</xdr:col>
                    <xdr:colOff>1381125</xdr:colOff>
                    <xdr:row>13</xdr:row>
                    <xdr:rowOff>657225</xdr:rowOff>
                  </to>
                </anchor>
              </controlPr>
            </control>
          </mc:Choice>
        </mc:AlternateContent>
        <mc:AlternateContent xmlns:mc="http://schemas.openxmlformats.org/markup-compatibility/2006">
          <mc:Choice Requires="x14">
            <control shapeId="51474" r:id="rId28" name="Check Box 274">
              <controlPr defaultSize="0" autoFill="0" autoLine="0" autoPict="0">
                <anchor moveWithCells="1" sizeWithCells="1">
                  <from>
                    <xdr:col>7</xdr:col>
                    <xdr:colOff>0</xdr:colOff>
                    <xdr:row>13</xdr:row>
                    <xdr:rowOff>9525</xdr:rowOff>
                  </from>
                  <to>
                    <xdr:col>7</xdr:col>
                    <xdr:colOff>1428750</xdr:colOff>
                    <xdr:row>13</xdr:row>
                    <xdr:rowOff>666750</xdr:rowOff>
                  </to>
                </anchor>
              </controlPr>
            </control>
          </mc:Choice>
        </mc:AlternateContent>
        <mc:AlternateContent xmlns:mc="http://schemas.openxmlformats.org/markup-compatibility/2006">
          <mc:Choice Requires="x14">
            <control shapeId="51476" r:id="rId29" name="Check Box 276">
              <controlPr defaultSize="0" autoFill="0" autoLine="0" autoPict="0">
                <anchor moveWithCells="1" sizeWithCells="1">
                  <from>
                    <xdr:col>8</xdr:col>
                    <xdr:colOff>0</xdr:colOff>
                    <xdr:row>13</xdr:row>
                    <xdr:rowOff>0</xdr:rowOff>
                  </from>
                  <to>
                    <xdr:col>8</xdr:col>
                    <xdr:colOff>1181100</xdr:colOff>
                    <xdr:row>13</xdr:row>
                    <xdr:rowOff>657225</xdr:rowOff>
                  </to>
                </anchor>
              </controlPr>
            </control>
          </mc:Choice>
        </mc:AlternateContent>
        <mc:AlternateContent xmlns:mc="http://schemas.openxmlformats.org/markup-compatibility/2006">
          <mc:Choice Requires="x14">
            <control shapeId="51484" r:id="rId30" name="Check Box 284">
              <controlPr defaultSize="0" autoFill="0" autoLine="0" autoPict="0">
                <anchor moveWithCells="1" sizeWithCells="1">
                  <from>
                    <xdr:col>9</xdr:col>
                    <xdr:colOff>857250</xdr:colOff>
                    <xdr:row>21</xdr:row>
                    <xdr:rowOff>276225</xdr:rowOff>
                  </from>
                  <to>
                    <xdr:col>11</xdr:col>
                    <xdr:colOff>352425</xdr:colOff>
                    <xdr:row>21</xdr:row>
                    <xdr:rowOff>523875</xdr:rowOff>
                  </to>
                </anchor>
              </controlPr>
            </control>
          </mc:Choice>
        </mc:AlternateContent>
        <mc:AlternateContent xmlns:mc="http://schemas.openxmlformats.org/markup-compatibility/2006">
          <mc:Choice Requires="x14">
            <control shapeId="51549" r:id="rId31" name="Option Button 349">
              <controlPr defaultSize="0" autoFill="0" autoLine="0" autoPict="0" macro="[0]!OptionButtonPloish_Click">
                <anchor moveWithCells="1" sizeWithCells="1">
                  <from>
                    <xdr:col>4</xdr:col>
                    <xdr:colOff>447675</xdr:colOff>
                    <xdr:row>0</xdr:row>
                    <xdr:rowOff>828675</xdr:rowOff>
                  </from>
                  <to>
                    <xdr:col>5</xdr:col>
                    <xdr:colOff>190500</xdr:colOff>
                    <xdr:row>1</xdr:row>
                    <xdr:rowOff>0</xdr:rowOff>
                  </to>
                </anchor>
              </controlPr>
            </control>
          </mc:Choice>
        </mc:AlternateContent>
        <mc:AlternateContent xmlns:mc="http://schemas.openxmlformats.org/markup-compatibility/2006">
          <mc:Choice Requires="x14">
            <control shapeId="51475" r:id="rId32" name="Check Box 275">
              <controlPr defaultSize="0" autoFill="0" autoLine="0" autoPict="0">
                <anchor moveWithCells="1" sizeWithCells="1">
                  <from>
                    <xdr:col>8</xdr:col>
                    <xdr:colOff>1466850</xdr:colOff>
                    <xdr:row>13</xdr:row>
                    <xdr:rowOff>28575</xdr:rowOff>
                  </from>
                  <to>
                    <xdr:col>9</xdr:col>
                    <xdr:colOff>1152525</xdr:colOff>
                    <xdr:row>13</xdr:row>
                    <xdr:rowOff>619125</xdr:rowOff>
                  </to>
                </anchor>
              </controlPr>
            </control>
          </mc:Choice>
        </mc:AlternateContent>
        <mc:AlternateContent xmlns:mc="http://schemas.openxmlformats.org/markup-compatibility/2006">
          <mc:Choice Requires="x14">
            <control shapeId="51744" r:id="rId33" name="Check Box 544">
              <controlPr defaultSize="0" autoFill="0" autoLine="0" autoPict="0" macro="[0]!CheckBox544_Click">
                <anchor moveWithCells="1" sizeWithCells="1">
                  <from>
                    <xdr:col>0</xdr:col>
                    <xdr:colOff>171450</xdr:colOff>
                    <xdr:row>2</xdr:row>
                    <xdr:rowOff>0</xdr:rowOff>
                  </from>
                  <to>
                    <xdr:col>9</xdr:col>
                    <xdr:colOff>1228725</xdr:colOff>
                    <xdr:row>3</xdr:row>
                    <xdr:rowOff>0</xdr:rowOff>
                  </to>
                </anchor>
              </controlPr>
            </control>
          </mc:Choice>
        </mc:AlternateContent>
        <mc:AlternateContent xmlns:mc="http://schemas.openxmlformats.org/markup-compatibility/2006">
          <mc:Choice Requires="x14">
            <control shapeId="51750" r:id="rId34" name="Option Button 550">
              <controlPr defaultSize="0" autoFill="0" autoLine="0" autoPict="0" macro="[0]!OptionButtonRusian_Click">
                <anchor moveWithCells="1" sizeWithCells="1">
                  <from>
                    <xdr:col>7</xdr:col>
                    <xdr:colOff>190500</xdr:colOff>
                    <xdr:row>0</xdr:row>
                    <xdr:rowOff>809625</xdr:rowOff>
                  </from>
                  <to>
                    <xdr:col>7</xdr:col>
                    <xdr:colOff>695325</xdr:colOff>
                    <xdr:row>0</xdr:row>
                    <xdr:rowOff>1066800</xdr:rowOff>
                  </to>
                </anchor>
              </controlPr>
            </control>
          </mc:Choice>
        </mc:AlternateContent>
        <mc:AlternateContent xmlns:mc="http://schemas.openxmlformats.org/markup-compatibility/2006">
          <mc:Choice Requires="x14">
            <control shapeId="51862" r:id="rId35" name="Option Button 662">
              <controlPr defaultSize="0" autoFill="0" autoLine="0" autoPict="0" macro="[0]!OptionButtonPortugues_Click">
                <anchor moveWithCells="1" sizeWithCells="1">
                  <from>
                    <xdr:col>7</xdr:col>
                    <xdr:colOff>1524000</xdr:colOff>
                    <xdr:row>0</xdr:row>
                    <xdr:rowOff>809625</xdr:rowOff>
                  </from>
                  <to>
                    <xdr:col>8</xdr:col>
                    <xdr:colOff>152400</xdr:colOff>
                    <xdr:row>1</xdr:row>
                    <xdr:rowOff>0</xdr:rowOff>
                  </to>
                </anchor>
              </controlPr>
            </control>
          </mc:Choice>
        </mc:AlternateContent>
        <mc:AlternateContent xmlns:mc="http://schemas.openxmlformats.org/markup-compatibility/2006">
          <mc:Choice Requires="x14">
            <control shapeId="51863" r:id="rId36" name="Option Button 663">
              <controlPr defaultSize="0" autoFill="0" autoLine="0" autoPict="0" macro="[0]!OptionButtonchinese_Click">
                <anchor moveWithCells="1" sizeWithCells="1">
                  <from>
                    <xdr:col>8</xdr:col>
                    <xdr:colOff>962025</xdr:colOff>
                    <xdr:row>0</xdr:row>
                    <xdr:rowOff>800100</xdr:rowOff>
                  </from>
                  <to>
                    <xdr:col>9</xdr:col>
                    <xdr:colOff>0</xdr:colOff>
                    <xdr:row>1</xdr:row>
                    <xdr:rowOff>0</xdr:rowOff>
                  </to>
                </anchor>
              </controlPr>
            </control>
          </mc:Choice>
        </mc:AlternateContent>
        <mc:AlternateContent xmlns:mc="http://schemas.openxmlformats.org/markup-compatibility/2006">
          <mc:Choice Requires="x14">
            <control shapeId="51864" r:id="rId37" name="Option Button 664">
              <controlPr defaultSize="0" autoFill="0" autoLine="0" autoPict="0" macro="[0]!OptionButtonkorean_Click">
                <anchor moveWithCells="1" sizeWithCells="1">
                  <from>
                    <xdr:col>9</xdr:col>
                    <xdr:colOff>695325</xdr:colOff>
                    <xdr:row>0</xdr:row>
                    <xdr:rowOff>781050</xdr:rowOff>
                  </from>
                  <to>
                    <xdr:col>11</xdr:col>
                    <xdr:colOff>66675</xdr:colOff>
                    <xdr:row>1</xdr:row>
                    <xdr:rowOff>0</xdr:rowOff>
                  </to>
                </anchor>
              </controlPr>
            </control>
          </mc:Choice>
        </mc:AlternateContent>
        <mc:AlternateContent xmlns:mc="http://schemas.openxmlformats.org/markup-compatibility/2006">
          <mc:Choice Requires="x14">
            <control shapeId="51866" r:id="rId38" name="Check Box 666">
              <controlPr defaultSize="0" autoFill="0" autoLine="0" autoPict="0" macro="[0]!CheckBox544_Click">
                <anchor moveWithCells="1" sizeWithCells="1">
                  <from>
                    <xdr:col>1</xdr:col>
                    <xdr:colOff>0</xdr:colOff>
                    <xdr:row>99</xdr:row>
                    <xdr:rowOff>0</xdr:rowOff>
                  </from>
                  <to>
                    <xdr:col>9</xdr:col>
                    <xdr:colOff>1247775</xdr:colOff>
                    <xdr:row>99</xdr:row>
                    <xdr:rowOff>619125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4">
    <tabColor rgb="FF0070C0"/>
    <pageSetUpPr fitToPage="1"/>
  </sheetPr>
  <dimension ref="A1:BY22"/>
  <sheetViews>
    <sheetView view="pageBreakPreview" zoomScale="86" zoomScaleNormal="70" zoomScaleSheetLayoutView="86" workbookViewId="0">
      <pane xSplit="3" topLeftCell="D1" activePane="topRight" state="frozen"/>
      <selection activeCell="B29" sqref="B29"/>
      <selection pane="topRight" activeCell="B29" sqref="B29"/>
    </sheetView>
  </sheetViews>
  <sheetFormatPr baseColWidth="10" defaultColWidth="11.42578125" defaultRowHeight="12.75"/>
  <cols>
    <col min="1" max="1" width="2.5703125" style="276" customWidth="1"/>
    <col min="2" max="2" width="23.140625" style="308" customWidth="1"/>
    <col min="3" max="3" width="9.7109375" style="308" customWidth="1"/>
    <col min="4" max="49" width="8" style="276" customWidth="1"/>
    <col min="50" max="68" width="7.85546875" style="276" customWidth="1"/>
    <col min="69" max="69" width="2.5703125" style="276" customWidth="1"/>
    <col min="70" max="16384" width="11.42578125" style="276"/>
  </cols>
  <sheetData>
    <row r="1" spans="1:77" ht="18.75" thickBot="1">
      <c r="A1" s="283"/>
      <c r="B1" s="284" t="s">
        <v>469</v>
      </c>
      <c r="C1" s="284"/>
      <c r="D1" s="285"/>
      <c r="E1" s="285"/>
      <c r="F1" s="285"/>
      <c r="G1" s="285"/>
      <c r="H1" s="285"/>
      <c r="I1" s="285"/>
      <c r="J1" s="285"/>
      <c r="K1" s="285"/>
      <c r="L1" s="285"/>
      <c r="M1" s="285"/>
      <c r="N1" s="285"/>
      <c r="O1" s="285"/>
      <c r="P1" s="285"/>
      <c r="Q1" s="285"/>
      <c r="R1" s="285"/>
      <c r="S1" s="285"/>
      <c r="T1" s="285"/>
      <c r="U1" s="285"/>
      <c r="V1" s="285"/>
      <c r="W1" s="285"/>
      <c r="X1" s="285"/>
      <c r="Y1" s="285"/>
      <c r="Z1" s="285"/>
      <c r="AA1" s="285"/>
      <c r="AB1" s="285"/>
      <c r="AC1" s="285"/>
      <c r="AD1" s="285"/>
      <c r="AE1" s="285"/>
      <c r="AF1" s="285"/>
      <c r="AG1" s="285"/>
      <c r="AH1" s="285"/>
      <c r="AI1" s="285"/>
      <c r="AJ1" s="285"/>
      <c r="AK1" s="285"/>
      <c r="AL1" s="285"/>
      <c r="AM1" s="285"/>
      <c r="AN1" s="285"/>
      <c r="AO1" s="285"/>
      <c r="AP1" s="285"/>
      <c r="AQ1" s="285"/>
      <c r="AR1" s="285"/>
      <c r="AS1" s="285"/>
      <c r="AT1" s="285"/>
      <c r="AU1" s="285"/>
      <c r="AV1" s="285"/>
      <c r="AW1" s="285"/>
      <c r="AX1" s="285"/>
      <c r="AY1" s="285"/>
      <c r="AZ1" s="285"/>
      <c r="BA1" s="285"/>
      <c r="BB1" s="285"/>
      <c r="BC1" s="285"/>
      <c r="BD1" s="285"/>
      <c r="BE1" s="285"/>
      <c r="BF1" s="285"/>
      <c r="BG1" s="285"/>
      <c r="BH1" s="285"/>
      <c r="BI1" s="285"/>
      <c r="BJ1" s="285"/>
      <c r="BK1" s="285"/>
      <c r="BL1" s="285"/>
      <c r="BM1" s="285"/>
      <c r="BN1" s="285"/>
      <c r="BO1" s="285"/>
      <c r="BP1" s="285"/>
      <c r="BQ1" s="286"/>
    </row>
    <row r="2" spans="1:77" ht="18.75" thickBot="1">
      <c r="A2" s="755" t="s">
        <v>466</v>
      </c>
      <c r="B2" s="756"/>
      <c r="C2" s="287"/>
      <c r="D2" s="288"/>
      <c r="E2" s="288"/>
      <c r="F2" s="288"/>
      <c r="G2" s="288" t="s">
        <v>268</v>
      </c>
      <c r="H2" s="288"/>
      <c r="I2" s="288"/>
      <c r="J2" s="288"/>
      <c r="K2" s="288"/>
      <c r="L2" s="288"/>
      <c r="M2" s="288"/>
      <c r="N2" s="288"/>
      <c r="O2" s="288"/>
      <c r="P2" s="288"/>
      <c r="Q2" s="288"/>
      <c r="R2" s="288"/>
      <c r="S2" s="288"/>
      <c r="T2" s="288"/>
      <c r="U2" s="288"/>
      <c r="V2" s="288"/>
      <c r="W2" s="288"/>
      <c r="X2" s="288"/>
      <c r="Y2" s="288"/>
      <c r="Z2" s="288"/>
      <c r="AA2" s="288"/>
      <c r="AB2" s="288"/>
      <c r="AC2" s="288"/>
      <c r="AD2" s="288"/>
      <c r="AE2" s="288"/>
      <c r="AF2" s="288"/>
      <c r="AG2" s="288"/>
      <c r="AH2" s="288"/>
      <c r="AI2" s="288"/>
      <c r="AJ2" s="288"/>
      <c r="AK2" s="288"/>
      <c r="AL2" s="288"/>
      <c r="AM2" s="288"/>
      <c r="AN2" s="288"/>
      <c r="AO2" s="288"/>
      <c r="AP2" s="288"/>
      <c r="AQ2" s="288"/>
      <c r="AR2" s="288"/>
      <c r="AS2" s="288"/>
      <c r="AT2" s="288"/>
      <c r="AU2" s="288"/>
      <c r="AV2" s="288"/>
      <c r="AW2" s="288"/>
      <c r="AX2" s="288"/>
      <c r="AY2" s="288"/>
      <c r="AZ2" s="288"/>
      <c r="BA2" s="288"/>
      <c r="BB2" s="288"/>
      <c r="BC2" s="288"/>
      <c r="BD2" s="288"/>
      <c r="BE2" s="288"/>
      <c r="BF2" s="288"/>
      <c r="BG2" s="288"/>
      <c r="BH2" s="288"/>
      <c r="BI2" s="288"/>
      <c r="BJ2" s="288"/>
      <c r="BK2" s="288"/>
      <c r="BL2" s="288"/>
      <c r="BM2" s="288"/>
      <c r="BN2" s="288"/>
      <c r="BO2" s="288"/>
      <c r="BP2" s="288"/>
      <c r="BQ2" s="289"/>
    </row>
    <row r="3" spans="1:77" ht="13.5" thickBot="1">
      <c r="A3" s="290"/>
      <c r="B3" s="291"/>
      <c r="C3" s="292" t="s">
        <v>329</v>
      </c>
      <c r="D3" s="293">
        <f>E3-1</f>
        <v>-3</v>
      </c>
      <c r="E3" s="293">
        <f>F3-1</f>
        <v>-2</v>
      </c>
      <c r="F3" s="293">
        <f>G3-1</f>
        <v>-1</v>
      </c>
      <c r="G3" s="533">
        <f>'8D-Report'!$I$6</f>
        <v>0</v>
      </c>
      <c r="H3" s="294">
        <f>G3+1</f>
        <v>1</v>
      </c>
      <c r="I3" s="294">
        <f t="shared" ref="I3:BP3" si="0">H3+1</f>
        <v>2</v>
      </c>
      <c r="J3" s="294">
        <f t="shared" si="0"/>
        <v>3</v>
      </c>
      <c r="K3" s="294">
        <f t="shared" si="0"/>
        <v>4</v>
      </c>
      <c r="L3" s="294">
        <f t="shared" si="0"/>
        <v>5</v>
      </c>
      <c r="M3" s="294">
        <f t="shared" si="0"/>
        <v>6</v>
      </c>
      <c r="N3" s="294">
        <f t="shared" si="0"/>
        <v>7</v>
      </c>
      <c r="O3" s="294">
        <f t="shared" si="0"/>
        <v>8</v>
      </c>
      <c r="P3" s="294">
        <f t="shared" si="0"/>
        <v>9</v>
      </c>
      <c r="Q3" s="294">
        <f t="shared" si="0"/>
        <v>10</v>
      </c>
      <c r="R3" s="294">
        <f t="shared" si="0"/>
        <v>11</v>
      </c>
      <c r="S3" s="294">
        <f t="shared" si="0"/>
        <v>12</v>
      </c>
      <c r="T3" s="294">
        <f t="shared" si="0"/>
        <v>13</v>
      </c>
      <c r="U3" s="294">
        <f t="shared" si="0"/>
        <v>14</v>
      </c>
      <c r="V3" s="294">
        <f t="shared" si="0"/>
        <v>15</v>
      </c>
      <c r="W3" s="294">
        <f t="shared" si="0"/>
        <v>16</v>
      </c>
      <c r="X3" s="294">
        <f t="shared" si="0"/>
        <v>17</v>
      </c>
      <c r="Y3" s="294">
        <f t="shared" si="0"/>
        <v>18</v>
      </c>
      <c r="Z3" s="294">
        <f t="shared" si="0"/>
        <v>19</v>
      </c>
      <c r="AA3" s="294">
        <f t="shared" si="0"/>
        <v>20</v>
      </c>
      <c r="AB3" s="294">
        <f t="shared" si="0"/>
        <v>21</v>
      </c>
      <c r="AC3" s="294">
        <f t="shared" si="0"/>
        <v>22</v>
      </c>
      <c r="AD3" s="294">
        <f t="shared" si="0"/>
        <v>23</v>
      </c>
      <c r="AE3" s="294">
        <f t="shared" si="0"/>
        <v>24</v>
      </c>
      <c r="AF3" s="294">
        <f t="shared" si="0"/>
        <v>25</v>
      </c>
      <c r="AG3" s="294">
        <f t="shared" si="0"/>
        <v>26</v>
      </c>
      <c r="AH3" s="294">
        <f t="shared" si="0"/>
        <v>27</v>
      </c>
      <c r="AI3" s="294">
        <f t="shared" si="0"/>
        <v>28</v>
      </c>
      <c r="AJ3" s="294">
        <f t="shared" si="0"/>
        <v>29</v>
      </c>
      <c r="AK3" s="294">
        <f t="shared" si="0"/>
        <v>30</v>
      </c>
      <c r="AL3" s="294">
        <f t="shared" si="0"/>
        <v>31</v>
      </c>
      <c r="AM3" s="294">
        <f t="shared" si="0"/>
        <v>32</v>
      </c>
      <c r="AN3" s="294">
        <f t="shared" si="0"/>
        <v>33</v>
      </c>
      <c r="AO3" s="294">
        <f t="shared" si="0"/>
        <v>34</v>
      </c>
      <c r="AP3" s="294">
        <f t="shared" si="0"/>
        <v>35</v>
      </c>
      <c r="AQ3" s="294">
        <f t="shared" si="0"/>
        <v>36</v>
      </c>
      <c r="AR3" s="294">
        <f t="shared" si="0"/>
        <v>37</v>
      </c>
      <c r="AS3" s="294">
        <f t="shared" si="0"/>
        <v>38</v>
      </c>
      <c r="AT3" s="294">
        <f t="shared" si="0"/>
        <v>39</v>
      </c>
      <c r="AU3" s="294">
        <f t="shared" si="0"/>
        <v>40</v>
      </c>
      <c r="AV3" s="294">
        <f t="shared" si="0"/>
        <v>41</v>
      </c>
      <c r="AW3" s="294">
        <f t="shared" si="0"/>
        <v>42</v>
      </c>
      <c r="AX3" s="294">
        <f t="shared" si="0"/>
        <v>43</v>
      </c>
      <c r="AY3" s="294">
        <f t="shared" si="0"/>
        <v>44</v>
      </c>
      <c r="AZ3" s="294">
        <f t="shared" si="0"/>
        <v>45</v>
      </c>
      <c r="BA3" s="294">
        <f t="shared" si="0"/>
        <v>46</v>
      </c>
      <c r="BB3" s="294">
        <f t="shared" si="0"/>
        <v>47</v>
      </c>
      <c r="BC3" s="294">
        <f t="shared" si="0"/>
        <v>48</v>
      </c>
      <c r="BD3" s="294">
        <f t="shared" si="0"/>
        <v>49</v>
      </c>
      <c r="BE3" s="294">
        <f t="shared" si="0"/>
        <v>50</v>
      </c>
      <c r="BF3" s="294">
        <f t="shared" si="0"/>
        <v>51</v>
      </c>
      <c r="BG3" s="294">
        <f t="shared" si="0"/>
        <v>52</v>
      </c>
      <c r="BH3" s="294">
        <f t="shared" si="0"/>
        <v>53</v>
      </c>
      <c r="BI3" s="294">
        <f t="shared" si="0"/>
        <v>54</v>
      </c>
      <c r="BJ3" s="294">
        <f t="shared" si="0"/>
        <v>55</v>
      </c>
      <c r="BK3" s="294">
        <f t="shared" si="0"/>
        <v>56</v>
      </c>
      <c r="BL3" s="294">
        <f t="shared" si="0"/>
        <v>57</v>
      </c>
      <c r="BM3" s="294">
        <f t="shared" si="0"/>
        <v>58</v>
      </c>
      <c r="BN3" s="294">
        <f t="shared" si="0"/>
        <v>59</v>
      </c>
      <c r="BO3" s="294">
        <f t="shared" si="0"/>
        <v>60</v>
      </c>
      <c r="BP3" s="295">
        <f t="shared" si="0"/>
        <v>61</v>
      </c>
      <c r="BQ3" s="296"/>
      <c r="BR3" s="297"/>
      <c r="BS3" s="297"/>
      <c r="BT3" s="297"/>
      <c r="BU3" s="297"/>
      <c r="BV3" s="297"/>
      <c r="BW3" s="297"/>
      <c r="BX3" s="297"/>
      <c r="BY3" s="297"/>
    </row>
    <row r="4" spans="1:77">
      <c r="A4" s="290"/>
      <c r="B4" s="298" t="s">
        <v>189</v>
      </c>
      <c r="C4" s="299">
        <f>SUM(D4:BP4)</f>
        <v>0</v>
      </c>
      <c r="D4" s="260"/>
      <c r="E4" s="260"/>
      <c r="F4" s="260"/>
      <c r="G4" s="260"/>
      <c r="H4" s="260">
        <v>0</v>
      </c>
      <c r="I4" s="260">
        <v>0</v>
      </c>
      <c r="J4" s="260">
        <v>0</v>
      </c>
      <c r="K4" s="260">
        <v>0</v>
      </c>
      <c r="L4" s="260">
        <v>0</v>
      </c>
      <c r="M4" s="260">
        <v>0</v>
      </c>
      <c r="N4" s="260">
        <v>0</v>
      </c>
      <c r="O4" s="260">
        <v>0</v>
      </c>
      <c r="P4" s="260">
        <v>0</v>
      </c>
      <c r="Q4" s="260">
        <v>0</v>
      </c>
      <c r="R4" s="260">
        <v>0</v>
      </c>
      <c r="S4" s="260">
        <v>0</v>
      </c>
      <c r="T4" s="260">
        <v>0</v>
      </c>
      <c r="U4" s="260">
        <v>0</v>
      </c>
      <c r="V4" s="260">
        <v>0</v>
      </c>
      <c r="W4" s="260">
        <v>0</v>
      </c>
      <c r="X4" s="260">
        <v>0</v>
      </c>
      <c r="Y4" s="260">
        <v>0</v>
      </c>
      <c r="Z4" s="260">
        <v>0</v>
      </c>
      <c r="AA4" s="260">
        <v>0</v>
      </c>
      <c r="AB4" s="260">
        <v>0</v>
      </c>
      <c r="AC4" s="260">
        <v>0</v>
      </c>
      <c r="AD4" s="260">
        <v>0</v>
      </c>
      <c r="AE4" s="260">
        <v>0</v>
      </c>
      <c r="AF4" s="260">
        <v>0</v>
      </c>
      <c r="AG4" s="260">
        <v>0</v>
      </c>
      <c r="AH4" s="260">
        <v>0</v>
      </c>
      <c r="AI4" s="260">
        <v>0</v>
      </c>
      <c r="AJ4" s="260">
        <v>0</v>
      </c>
      <c r="AK4" s="260">
        <v>0</v>
      </c>
      <c r="AL4" s="260">
        <v>0</v>
      </c>
      <c r="AM4" s="260">
        <v>0</v>
      </c>
      <c r="AN4" s="260">
        <v>0</v>
      </c>
      <c r="AO4" s="260">
        <v>0</v>
      </c>
      <c r="AP4" s="260">
        <v>0</v>
      </c>
      <c r="AQ4" s="260">
        <v>0</v>
      </c>
      <c r="AR4" s="260">
        <v>0</v>
      </c>
      <c r="AS4" s="260">
        <v>0</v>
      </c>
      <c r="AT4" s="260">
        <v>0</v>
      </c>
      <c r="AU4" s="260">
        <v>0</v>
      </c>
      <c r="AV4" s="260">
        <v>0</v>
      </c>
      <c r="AW4" s="260">
        <v>0</v>
      </c>
      <c r="AX4" s="260">
        <v>0</v>
      </c>
      <c r="AY4" s="260">
        <v>0</v>
      </c>
      <c r="AZ4" s="260">
        <v>0</v>
      </c>
      <c r="BA4" s="260">
        <v>0</v>
      </c>
      <c r="BB4" s="260">
        <v>0</v>
      </c>
      <c r="BC4" s="260">
        <v>0</v>
      </c>
      <c r="BD4" s="260">
        <v>0</v>
      </c>
      <c r="BE4" s="260">
        <v>0</v>
      </c>
      <c r="BF4" s="260">
        <v>0</v>
      </c>
      <c r="BG4" s="260">
        <v>0</v>
      </c>
      <c r="BH4" s="260">
        <v>0</v>
      </c>
      <c r="BI4" s="260">
        <v>0</v>
      </c>
      <c r="BJ4" s="260">
        <v>0</v>
      </c>
      <c r="BK4" s="260">
        <v>0</v>
      </c>
      <c r="BL4" s="260">
        <v>0</v>
      </c>
      <c r="BM4" s="260">
        <v>0</v>
      </c>
      <c r="BN4" s="260">
        <v>0</v>
      </c>
      <c r="BO4" s="260">
        <v>0</v>
      </c>
      <c r="BP4" s="261">
        <v>0</v>
      </c>
      <c r="BQ4" s="300"/>
    </row>
    <row r="5" spans="1:77" ht="12.75" customHeight="1" thickBot="1">
      <c r="A5" s="290"/>
      <c r="B5" s="298" t="s">
        <v>298</v>
      </c>
      <c r="C5" s="299">
        <f>SUM(D5:BP5)</f>
        <v>0</v>
      </c>
      <c r="D5" s="262"/>
      <c r="E5" s="262"/>
      <c r="F5" s="262"/>
      <c r="G5" s="262"/>
      <c r="H5" s="262">
        <v>0</v>
      </c>
      <c r="I5" s="262">
        <v>0</v>
      </c>
      <c r="J5" s="262">
        <v>0</v>
      </c>
      <c r="K5" s="262">
        <v>0</v>
      </c>
      <c r="L5" s="262">
        <v>0</v>
      </c>
      <c r="M5" s="262">
        <v>0</v>
      </c>
      <c r="N5" s="262">
        <v>0</v>
      </c>
      <c r="O5" s="262">
        <v>0</v>
      </c>
      <c r="P5" s="262">
        <v>0</v>
      </c>
      <c r="Q5" s="262">
        <v>0</v>
      </c>
      <c r="R5" s="262">
        <v>0</v>
      </c>
      <c r="S5" s="262">
        <v>0</v>
      </c>
      <c r="T5" s="262">
        <v>0</v>
      </c>
      <c r="U5" s="262">
        <v>0</v>
      </c>
      <c r="V5" s="262">
        <v>0</v>
      </c>
      <c r="W5" s="262">
        <v>0</v>
      </c>
      <c r="X5" s="262">
        <v>0</v>
      </c>
      <c r="Y5" s="262">
        <v>0</v>
      </c>
      <c r="Z5" s="262">
        <v>0</v>
      </c>
      <c r="AA5" s="262">
        <v>0</v>
      </c>
      <c r="AB5" s="262">
        <v>0</v>
      </c>
      <c r="AC5" s="262">
        <v>0</v>
      </c>
      <c r="AD5" s="262">
        <v>0</v>
      </c>
      <c r="AE5" s="262">
        <v>0</v>
      </c>
      <c r="AF5" s="262">
        <v>0</v>
      </c>
      <c r="AG5" s="262">
        <v>0</v>
      </c>
      <c r="AH5" s="262">
        <v>0</v>
      </c>
      <c r="AI5" s="262">
        <v>0</v>
      </c>
      <c r="AJ5" s="262">
        <v>0</v>
      </c>
      <c r="AK5" s="262">
        <v>0</v>
      </c>
      <c r="AL5" s="262">
        <v>0</v>
      </c>
      <c r="AM5" s="262">
        <v>0</v>
      </c>
      <c r="AN5" s="262">
        <v>0</v>
      </c>
      <c r="AO5" s="262">
        <v>0</v>
      </c>
      <c r="AP5" s="262">
        <v>0</v>
      </c>
      <c r="AQ5" s="262">
        <v>0</v>
      </c>
      <c r="AR5" s="262">
        <v>0</v>
      </c>
      <c r="AS5" s="262">
        <v>0</v>
      </c>
      <c r="AT5" s="262">
        <v>0</v>
      </c>
      <c r="AU5" s="262">
        <v>0</v>
      </c>
      <c r="AV5" s="262">
        <v>0</v>
      </c>
      <c r="AW5" s="262">
        <v>0</v>
      </c>
      <c r="AX5" s="262">
        <v>0</v>
      </c>
      <c r="AY5" s="262">
        <v>0</v>
      </c>
      <c r="AZ5" s="262">
        <v>0</v>
      </c>
      <c r="BA5" s="262">
        <v>0</v>
      </c>
      <c r="BB5" s="262">
        <v>0</v>
      </c>
      <c r="BC5" s="262">
        <v>0</v>
      </c>
      <c r="BD5" s="262">
        <v>0</v>
      </c>
      <c r="BE5" s="262">
        <v>0</v>
      </c>
      <c r="BF5" s="262">
        <v>0</v>
      </c>
      <c r="BG5" s="262">
        <v>0</v>
      </c>
      <c r="BH5" s="262">
        <v>0</v>
      </c>
      <c r="BI5" s="262">
        <v>0</v>
      </c>
      <c r="BJ5" s="262">
        <v>0</v>
      </c>
      <c r="BK5" s="262">
        <v>0</v>
      </c>
      <c r="BL5" s="262">
        <v>0</v>
      </c>
      <c r="BM5" s="262">
        <v>0</v>
      </c>
      <c r="BN5" s="262">
        <v>0</v>
      </c>
      <c r="BO5" s="262">
        <v>0</v>
      </c>
      <c r="BP5" s="263">
        <v>0</v>
      </c>
      <c r="BQ5" s="300"/>
    </row>
    <row r="6" spans="1:77" ht="13.5" thickBot="1">
      <c r="A6" s="290"/>
      <c r="B6" s="301" t="s">
        <v>467</v>
      </c>
      <c r="C6" s="302"/>
      <c r="D6" s="264"/>
      <c r="E6" s="264"/>
      <c r="F6" s="264"/>
      <c r="G6" s="264"/>
      <c r="H6" s="264"/>
      <c r="I6" s="264"/>
      <c r="J6" s="264"/>
      <c r="K6" s="264"/>
      <c r="L6" s="264"/>
      <c r="M6" s="264"/>
      <c r="N6" s="264"/>
      <c r="O6" s="264"/>
      <c r="P6" s="264"/>
      <c r="Q6" s="264"/>
      <c r="R6" s="264"/>
      <c r="S6" s="264"/>
      <c r="T6" s="264"/>
      <c r="U6" s="264"/>
      <c r="V6" s="264"/>
      <c r="W6" s="264"/>
      <c r="X6" s="264"/>
      <c r="Y6" s="264"/>
      <c r="Z6" s="264"/>
      <c r="AA6" s="264"/>
      <c r="AB6" s="264"/>
      <c r="AC6" s="264"/>
      <c r="AD6" s="264"/>
      <c r="AE6" s="264"/>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c r="BI6" s="264"/>
      <c r="BJ6" s="264"/>
      <c r="BK6" s="264"/>
      <c r="BL6" s="264"/>
      <c r="BM6" s="264"/>
      <c r="BN6" s="264"/>
      <c r="BO6" s="264"/>
      <c r="BP6" s="265"/>
      <c r="BQ6" s="300"/>
    </row>
    <row r="7" spans="1:77" ht="13.5" thickBot="1">
      <c r="A7" s="303"/>
      <c r="B7" s="304"/>
      <c r="C7" s="304"/>
      <c r="D7" s="305"/>
      <c r="E7" s="305"/>
      <c r="F7" s="305"/>
      <c r="G7" s="305"/>
      <c r="H7" s="305"/>
      <c r="I7" s="305"/>
      <c r="J7" s="305"/>
      <c r="K7" s="305"/>
      <c r="L7" s="305"/>
      <c r="M7" s="305"/>
      <c r="N7" s="305"/>
      <c r="O7" s="305"/>
      <c r="P7" s="305"/>
      <c r="Q7" s="305"/>
      <c r="R7" s="305"/>
      <c r="S7" s="305"/>
      <c r="T7" s="305"/>
      <c r="U7" s="305"/>
      <c r="V7" s="305"/>
      <c r="W7" s="305"/>
      <c r="X7" s="305"/>
      <c r="Y7" s="305"/>
      <c r="Z7" s="305"/>
      <c r="AA7" s="305"/>
      <c r="AB7" s="305"/>
      <c r="AC7" s="305"/>
      <c r="AD7" s="305"/>
      <c r="AE7" s="305"/>
      <c r="AF7" s="305"/>
      <c r="AG7" s="305"/>
      <c r="AH7" s="305"/>
      <c r="AI7" s="305"/>
      <c r="AJ7" s="305"/>
      <c r="AK7" s="305"/>
      <c r="AL7" s="305"/>
      <c r="AM7" s="305"/>
      <c r="AN7" s="305"/>
      <c r="AO7" s="305"/>
      <c r="AP7" s="305"/>
      <c r="AQ7" s="305"/>
      <c r="AR7" s="305"/>
      <c r="AS7" s="305"/>
      <c r="AT7" s="305"/>
      <c r="AU7" s="305"/>
      <c r="AV7" s="305"/>
      <c r="AW7" s="305"/>
      <c r="AX7" s="305"/>
      <c r="AY7" s="305"/>
      <c r="AZ7" s="305"/>
      <c r="BA7" s="305"/>
      <c r="BB7" s="305"/>
      <c r="BC7" s="305"/>
      <c r="BD7" s="305"/>
      <c r="BE7" s="305"/>
      <c r="BF7" s="305"/>
      <c r="BG7" s="305"/>
      <c r="BH7" s="305"/>
      <c r="BI7" s="305"/>
      <c r="BJ7" s="305"/>
      <c r="BK7" s="305"/>
      <c r="BL7" s="305"/>
      <c r="BM7" s="305"/>
      <c r="BN7" s="305"/>
      <c r="BO7" s="305"/>
      <c r="BP7" s="305"/>
      <c r="BQ7" s="306"/>
    </row>
    <row r="8" spans="1:77" ht="18.75" thickBot="1">
      <c r="A8" s="755" t="s">
        <v>616</v>
      </c>
      <c r="B8" s="756"/>
      <c r="C8" s="287"/>
      <c r="D8" s="288"/>
      <c r="E8" s="288"/>
      <c r="F8" s="288"/>
      <c r="G8" s="288" t="s">
        <v>268</v>
      </c>
      <c r="H8" s="288"/>
      <c r="I8" s="288"/>
      <c r="J8" s="288"/>
      <c r="K8" s="288"/>
      <c r="L8" s="288"/>
      <c r="M8" s="288"/>
      <c r="N8" s="288"/>
      <c r="O8" s="288"/>
      <c r="P8" s="288"/>
      <c r="Q8" s="288"/>
      <c r="R8" s="288"/>
      <c r="S8" s="288"/>
      <c r="T8" s="288"/>
      <c r="U8" s="288"/>
      <c r="V8" s="288"/>
      <c r="W8" s="288"/>
      <c r="X8" s="288"/>
      <c r="Y8" s="288"/>
      <c r="Z8" s="288"/>
      <c r="AA8" s="288"/>
      <c r="AB8" s="288"/>
      <c r="AC8" s="288"/>
      <c r="AD8" s="288"/>
      <c r="AE8" s="288"/>
      <c r="AF8" s="288"/>
      <c r="AG8" s="288"/>
      <c r="AH8" s="288"/>
      <c r="AI8" s="288"/>
      <c r="AJ8" s="288"/>
      <c r="AK8" s="288"/>
      <c r="AL8" s="288"/>
      <c r="AM8" s="288"/>
      <c r="AN8" s="288"/>
      <c r="AO8" s="288"/>
      <c r="AP8" s="288"/>
      <c r="AQ8" s="288"/>
      <c r="AR8" s="288"/>
      <c r="AS8" s="288"/>
      <c r="AT8" s="288"/>
      <c r="AU8" s="288"/>
      <c r="AV8" s="288"/>
      <c r="AW8" s="288"/>
      <c r="AX8" s="288"/>
      <c r="AY8" s="288"/>
      <c r="AZ8" s="288"/>
      <c r="BA8" s="288"/>
      <c r="BB8" s="288"/>
      <c r="BC8" s="288"/>
      <c r="BD8" s="288"/>
      <c r="BE8" s="288"/>
      <c r="BF8" s="288"/>
      <c r="BG8" s="288"/>
      <c r="BH8" s="288"/>
      <c r="BI8" s="288"/>
      <c r="BJ8" s="288"/>
      <c r="BK8" s="288"/>
      <c r="BL8" s="288"/>
      <c r="BM8" s="288"/>
      <c r="BN8" s="288"/>
      <c r="BO8" s="288"/>
      <c r="BP8" s="288"/>
      <c r="BQ8" s="289"/>
    </row>
    <row r="9" spans="1:77" ht="13.5" thickBot="1">
      <c r="A9" s="290"/>
      <c r="B9" s="291"/>
      <c r="C9" s="292" t="s">
        <v>329</v>
      </c>
      <c r="D9" s="293">
        <f>E9-1</f>
        <v>-3</v>
      </c>
      <c r="E9" s="293">
        <f>F9-1</f>
        <v>-2</v>
      </c>
      <c r="F9" s="293">
        <f>G9-1</f>
        <v>-1</v>
      </c>
      <c r="G9" s="533">
        <f>'8D-Report'!$I$6</f>
        <v>0</v>
      </c>
      <c r="H9" s="294">
        <f>G9+1</f>
        <v>1</v>
      </c>
      <c r="I9" s="294">
        <f t="shared" ref="I9:BP9" si="1">H9+1</f>
        <v>2</v>
      </c>
      <c r="J9" s="294">
        <f t="shared" si="1"/>
        <v>3</v>
      </c>
      <c r="K9" s="294">
        <f t="shared" si="1"/>
        <v>4</v>
      </c>
      <c r="L9" s="294">
        <f t="shared" si="1"/>
        <v>5</v>
      </c>
      <c r="M9" s="294">
        <f t="shared" si="1"/>
        <v>6</v>
      </c>
      <c r="N9" s="294">
        <f t="shared" si="1"/>
        <v>7</v>
      </c>
      <c r="O9" s="294">
        <f t="shared" si="1"/>
        <v>8</v>
      </c>
      <c r="P9" s="294">
        <f t="shared" si="1"/>
        <v>9</v>
      </c>
      <c r="Q9" s="294">
        <f t="shared" si="1"/>
        <v>10</v>
      </c>
      <c r="R9" s="294">
        <f t="shared" si="1"/>
        <v>11</v>
      </c>
      <c r="S9" s="294">
        <f t="shared" si="1"/>
        <v>12</v>
      </c>
      <c r="T9" s="294">
        <f t="shared" si="1"/>
        <v>13</v>
      </c>
      <c r="U9" s="294">
        <f t="shared" si="1"/>
        <v>14</v>
      </c>
      <c r="V9" s="294">
        <f t="shared" si="1"/>
        <v>15</v>
      </c>
      <c r="W9" s="294">
        <f t="shared" si="1"/>
        <v>16</v>
      </c>
      <c r="X9" s="294">
        <f t="shared" si="1"/>
        <v>17</v>
      </c>
      <c r="Y9" s="294">
        <f t="shared" si="1"/>
        <v>18</v>
      </c>
      <c r="Z9" s="294">
        <f t="shared" si="1"/>
        <v>19</v>
      </c>
      <c r="AA9" s="294">
        <f t="shared" si="1"/>
        <v>20</v>
      </c>
      <c r="AB9" s="294">
        <f t="shared" si="1"/>
        <v>21</v>
      </c>
      <c r="AC9" s="294">
        <f t="shared" si="1"/>
        <v>22</v>
      </c>
      <c r="AD9" s="294">
        <f t="shared" si="1"/>
        <v>23</v>
      </c>
      <c r="AE9" s="294">
        <f t="shared" si="1"/>
        <v>24</v>
      </c>
      <c r="AF9" s="294">
        <f t="shared" si="1"/>
        <v>25</v>
      </c>
      <c r="AG9" s="294">
        <f t="shared" si="1"/>
        <v>26</v>
      </c>
      <c r="AH9" s="294">
        <f t="shared" si="1"/>
        <v>27</v>
      </c>
      <c r="AI9" s="294">
        <f t="shared" si="1"/>
        <v>28</v>
      </c>
      <c r="AJ9" s="294">
        <f t="shared" si="1"/>
        <v>29</v>
      </c>
      <c r="AK9" s="294">
        <f t="shared" si="1"/>
        <v>30</v>
      </c>
      <c r="AL9" s="294">
        <f t="shared" si="1"/>
        <v>31</v>
      </c>
      <c r="AM9" s="294">
        <f t="shared" si="1"/>
        <v>32</v>
      </c>
      <c r="AN9" s="294">
        <f t="shared" si="1"/>
        <v>33</v>
      </c>
      <c r="AO9" s="294">
        <f t="shared" si="1"/>
        <v>34</v>
      </c>
      <c r="AP9" s="294">
        <f t="shared" si="1"/>
        <v>35</v>
      </c>
      <c r="AQ9" s="294">
        <f t="shared" si="1"/>
        <v>36</v>
      </c>
      <c r="AR9" s="294">
        <f t="shared" si="1"/>
        <v>37</v>
      </c>
      <c r="AS9" s="294">
        <f t="shared" si="1"/>
        <v>38</v>
      </c>
      <c r="AT9" s="294">
        <f t="shared" si="1"/>
        <v>39</v>
      </c>
      <c r="AU9" s="294">
        <f t="shared" si="1"/>
        <v>40</v>
      </c>
      <c r="AV9" s="294">
        <f t="shared" si="1"/>
        <v>41</v>
      </c>
      <c r="AW9" s="294">
        <f t="shared" si="1"/>
        <v>42</v>
      </c>
      <c r="AX9" s="294">
        <f t="shared" si="1"/>
        <v>43</v>
      </c>
      <c r="AY9" s="294">
        <f t="shared" si="1"/>
        <v>44</v>
      </c>
      <c r="AZ9" s="294">
        <f t="shared" si="1"/>
        <v>45</v>
      </c>
      <c r="BA9" s="294">
        <f t="shared" si="1"/>
        <v>46</v>
      </c>
      <c r="BB9" s="294">
        <f t="shared" si="1"/>
        <v>47</v>
      </c>
      <c r="BC9" s="294">
        <f t="shared" si="1"/>
        <v>48</v>
      </c>
      <c r="BD9" s="294">
        <f t="shared" si="1"/>
        <v>49</v>
      </c>
      <c r="BE9" s="294">
        <f t="shared" si="1"/>
        <v>50</v>
      </c>
      <c r="BF9" s="294">
        <f t="shared" si="1"/>
        <v>51</v>
      </c>
      <c r="BG9" s="294">
        <f t="shared" si="1"/>
        <v>52</v>
      </c>
      <c r="BH9" s="294">
        <f t="shared" si="1"/>
        <v>53</v>
      </c>
      <c r="BI9" s="294">
        <f t="shared" si="1"/>
        <v>54</v>
      </c>
      <c r="BJ9" s="294">
        <f t="shared" si="1"/>
        <v>55</v>
      </c>
      <c r="BK9" s="294">
        <f t="shared" si="1"/>
        <v>56</v>
      </c>
      <c r="BL9" s="294">
        <f t="shared" si="1"/>
        <v>57</v>
      </c>
      <c r="BM9" s="294">
        <f t="shared" si="1"/>
        <v>58</v>
      </c>
      <c r="BN9" s="294">
        <f t="shared" si="1"/>
        <v>59</v>
      </c>
      <c r="BO9" s="294">
        <f t="shared" si="1"/>
        <v>60</v>
      </c>
      <c r="BP9" s="295">
        <f t="shared" si="1"/>
        <v>61</v>
      </c>
      <c r="BQ9" s="300"/>
    </row>
    <row r="10" spans="1:77">
      <c r="A10" s="290"/>
      <c r="B10" s="298" t="s">
        <v>189</v>
      </c>
      <c r="C10" s="299">
        <f>SUM(D10:BP10)</f>
        <v>0</v>
      </c>
      <c r="D10" s="260">
        <v>0</v>
      </c>
      <c r="E10" s="260"/>
      <c r="F10" s="260"/>
      <c r="G10" s="260"/>
      <c r="H10" s="260">
        <v>0</v>
      </c>
      <c r="I10" s="260">
        <v>0</v>
      </c>
      <c r="J10" s="260">
        <v>0</v>
      </c>
      <c r="K10" s="260">
        <v>0</v>
      </c>
      <c r="L10" s="260">
        <v>0</v>
      </c>
      <c r="M10" s="260">
        <v>0</v>
      </c>
      <c r="N10" s="260">
        <v>0</v>
      </c>
      <c r="O10" s="260">
        <v>0</v>
      </c>
      <c r="P10" s="260">
        <v>0</v>
      </c>
      <c r="Q10" s="260">
        <v>0</v>
      </c>
      <c r="R10" s="260">
        <v>0</v>
      </c>
      <c r="S10" s="260">
        <v>0</v>
      </c>
      <c r="T10" s="260">
        <v>0</v>
      </c>
      <c r="U10" s="260">
        <v>0</v>
      </c>
      <c r="V10" s="260">
        <v>0</v>
      </c>
      <c r="W10" s="260">
        <v>0</v>
      </c>
      <c r="X10" s="260">
        <v>0</v>
      </c>
      <c r="Y10" s="260">
        <v>0</v>
      </c>
      <c r="Z10" s="260">
        <v>0</v>
      </c>
      <c r="AA10" s="260">
        <v>0</v>
      </c>
      <c r="AB10" s="260">
        <v>0</v>
      </c>
      <c r="AC10" s="260">
        <v>0</v>
      </c>
      <c r="AD10" s="260">
        <v>0</v>
      </c>
      <c r="AE10" s="260">
        <v>0</v>
      </c>
      <c r="AF10" s="260">
        <v>0</v>
      </c>
      <c r="AG10" s="260">
        <v>0</v>
      </c>
      <c r="AH10" s="260">
        <v>0</v>
      </c>
      <c r="AI10" s="260">
        <v>0</v>
      </c>
      <c r="AJ10" s="260">
        <v>0</v>
      </c>
      <c r="AK10" s="260">
        <v>0</v>
      </c>
      <c r="AL10" s="260">
        <v>0</v>
      </c>
      <c r="AM10" s="260">
        <v>0</v>
      </c>
      <c r="AN10" s="260">
        <v>0</v>
      </c>
      <c r="AO10" s="260">
        <v>0</v>
      </c>
      <c r="AP10" s="260">
        <v>0</v>
      </c>
      <c r="AQ10" s="260">
        <v>0</v>
      </c>
      <c r="AR10" s="260">
        <v>0</v>
      </c>
      <c r="AS10" s="260">
        <v>0</v>
      </c>
      <c r="AT10" s="260">
        <v>0</v>
      </c>
      <c r="AU10" s="260">
        <v>0</v>
      </c>
      <c r="AV10" s="260">
        <v>0</v>
      </c>
      <c r="AW10" s="260">
        <v>0</v>
      </c>
      <c r="AX10" s="260">
        <v>0</v>
      </c>
      <c r="AY10" s="260">
        <v>0</v>
      </c>
      <c r="AZ10" s="260">
        <v>0</v>
      </c>
      <c r="BA10" s="260">
        <v>0</v>
      </c>
      <c r="BB10" s="260">
        <v>0</v>
      </c>
      <c r="BC10" s="260">
        <v>0</v>
      </c>
      <c r="BD10" s="260">
        <v>0</v>
      </c>
      <c r="BE10" s="260">
        <v>0</v>
      </c>
      <c r="BF10" s="260">
        <v>0</v>
      </c>
      <c r="BG10" s="260">
        <v>0</v>
      </c>
      <c r="BH10" s="260">
        <v>0</v>
      </c>
      <c r="BI10" s="260">
        <v>0</v>
      </c>
      <c r="BJ10" s="260">
        <v>0</v>
      </c>
      <c r="BK10" s="260">
        <v>0</v>
      </c>
      <c r="BL10" s="260">
        <v>0</v>
      </c>
      <c r="BM10" s="260">
        <v>0</v>
      </c>
      <c r="BN10" s="260">
        <v>0</v>
      </c>
      <c r="BO10" s="260">
        <v>0</v>
      </c>
      <c r="BP10" s="260">
        <v>0</v>
      </c>
      <c r="BQ10" s="300"/>
    </row>
    <row r="11" spans="1:77" ht="13.5" thickBot="1">
      <c r="A11" s="290"/>
      <c r="B11" s="298" t="s">
        <v>298</v>
      </c>
      <c r="C11" s="299">
        <f>SUM(D11:BP11)</f>
        <v>0</v>
      </c>
      <c r="D11" s="262"/>
      <c r="E11" s="262"/>
      <c r="F11" s="262"/>
      <c r="G11" s="262"/>
      <c r="H11" s="262">
        <v>0</v>
      </c>
      <c r="I11" s="262">
        <v>0</v>
      </c>
      <c r="J11" s="262">
        <v>0</v>
      </c>
      <c r="K11" s="262">
        <v>0</v>
      </c>
      <c r="L11" s="262">
        <v>0</v>
      </c>
      <c r="M11" s="262">
        <v>0</v>
      </c>
      <c r="N11" s="262">
        <v>0</v>
      </c>
      <c r="O11" s="262">
        <v>0</v>
      </c>
      <c r="P11" s="262">
        <v>0</v>
      </c>
      <c r="Q11" s="262">
        <v>0</v>
      </c>
      <c r="R11" s="262">
        <v>0</v>
      </c>
      <c r="S11" s="262">
        <v>0</v>
      </c>
      <c r="T11" s="262">
        <v>0</v>
      </c>
      <c r="U11" s="262">
        <v>0</v>
      </c>
      <c r="V11" s="262">
        <v>0</v>
      </c>
      <c r="W11" s="262">
        <v>0</v>
      </c>
      <c r="X11" s="262">
        <v>0</v>
      </c>
      <c r="Y11" s="262">
        <v>0</v>
      </c>
      <c r="Z11" s="262">
        <v>0</v>
      </c>
      <c r="AA11" s="262">
        <v>0</v>
      </c>
      <c r="AB11" s="262">
        <v>0</v>
      </c>
      <c r="AC11" s="262">
        <v>0</v>
      </c>
      <c r="AD11" s="262">
        <v>0</v>
      </c>
      <c r="AE11" s="262">
        <v>0</v>
      </c>
      <c r="AF11" s="262">
        <v>0</v>
      </c>
      <c r="AG11" s="262">
        <v>0</v>
      </c>
      <c r="AH11" s="262">
        <v>0</v>
      </c>
      <c r="AI11" s="262">
        <v>0</v>
      </c>
      <c r="AJ11" s="262">
        <v>0</v>
      </c>
      <c r="AK11" s="262">
        <v>0</v>
      </c>
      <c r="AL11" s="262">
        <v>0</v>
      </c>
      <c r="AM11" s="262">
        <v>0</v>
      </c>
      <c r="AN11" s="262">
        <v>0</v>
      </c>
      <c r="AO11" s="262">
        <v>0</v>
      </c>
      <c r="AP11" s="262">
        <v>0</v>
      </c>
      <c r="AQ11" s="262">
        <v>0</v>
      </c>
      <c r="AR11" s="262">
        <v>0</v>
      </c>
      <c r="AS11" s="262">
        <v>0</v>
      </c>
      <c r="AT11" s="262">
        <v>0</v>
      </c>
      <c r="AU11" s="262">
        <v>0</v>
      </c>
      <c r="AV11" s="262">
        <v>0</v>
      </c>
      <c r="AW11" s="262">
        <v>0</v>
      </c>
      <c r="AX11" s="262">
        <v>0</v>
      </c>
      <c r="AY11" s="262">
        <v>0</v>
      </c>
      <c r="AZ11" s="262">
        <v>0</v>
      </c>
      <c r="BA11" s="262">
        <v>0</v>
      </c>
      <c r="BB11" s="262">
        <v>0</v>
      </c>
      <c r="BC11" s="262">
        <v>0</v>
      </c>
      <c r="BD11" s="262">
        <v>0</v>
      </c>
      <c r="BE11" s="262">
        <v>0</v>
      </c>
      <c r="BF11" s="262">
        <v>0</v>
      </c>
      <c r="BG11" s="262">
        <v>0</v>
      </c>
      <c r="BH11" s="262">
        <v>0</v>
      </c>
      <c r="BI11" s="262">
        <v>0</v>
      </c>
      <c r="BJ11" s="262">
        <v>0</v>
      </c>
      <c r="BK11" s="262">
        <v>0</v>
      </c>
      <c r="BL11" s="262">
        <v>0</v>
      </c>
      <c r="BM11" s="262">
        <v>0</v>
      </c>
      <c r="BN11" s="262">
        <v>0</v>
      </c>
      <c r="BO11" s="262">
        <v>0</v>
      </c>
      <c r="BP11" s="262">
        <v>0</v>
      </c>
      <c r="BQ11" s="300"/>
    </row>
    <row r="12" spans="1:77" ht="13.5" thickBot="1">
      <c r="A12" s="290"/>
      <c r="B12" s="301" t="s">
        <v>467</v>
      </c>
      <c r="C12" s="302"/>
      <c r="D12" s="264"/>
      <c r="E12" s="264"/>
      <c r="F12" s="264"/>
      <c r="G12" s="264"/>
      <c r="H12" s="264"/>
      <c r="I12" s="264"/>
      <c r="J12" s="264"/>
      <c r="K12" s="264"/>
      <c r="L12" s="264"/>
      <c r="M12" s="264"/>
      <c r="N12" s="264"/>
      <c r="O12" s="264"/>
      <c r="P12" s="264"/>
      <c r="Q12" s="264"/>
      <c r="R12" s="264"/>
      <c r="S12" s="264"/>
      <c r="T12" s="264"/>
      <c r="U12" s="264"/>
      <c r="V12" s="264"/>
      <c r="W12" s="264"/>
      <c r="X12" s="264"/>
      <c r="Y12" s="264"/>
      <c r="Z12" s="264"/>
      <c r="AA12" s="264"/>
      <c r="AB12" s="264"/>
      <c r="AC12" s="264"/>
      <c r="AD12" s="264"/>
      <c r="AE12" s="264"/>
      <c r="AF12" s="264"/>
      <c r="AG12" s="264"/>
      <c r="AH12" s="264"/>
      <c r="AI12" s="264"/>
      <c r="AJ12" s="264"/>
      <c r="AK12" s="264"/>
      <c r="AL12" s="264"/>
      <c r="AM12" s="264"/>
      <c r="AN12" s="264"/>
      <c r="AO12" s="264"/>
      <c r="AP12" s="264"/>
      <c r="AQ12" s="264"/>
      <c r="AR12" s="264"/>
      <c r="AS12" s="264"/>
      <c r="AT12" s="264"/>
      <c r="AU12" s="264"/>
      <c r="AV12" s="264"/>
      <c r="AW12" s="264"/>
      <c r="AX12" s="264"/>
      <c r="AY12" s="264"/>
      <c r="AZ12" s="264"/>
      <c r="BA12" s="264"/>
      <c r="BB12" s="264"/>
      <c r="BC12" s="264"/>
      <c r="BD12" s="264"/>
      <c r="BE12" s="264"/>
      <c r="BF12" s="264"/>
      <c r="BG12" s="264"/>
      <c r="BH12" s="264"/>
      <c r="BI12" s="264"/>
      <c r="BJ12" s="264"/>
      <c r="BK12" s="264"/>
      <c r="BL12" s="264"/>
      <c r="BM12" s="264"/>
      <c r="BN12" s="264"/>
      <c r="BO12" s="264"/>
      <c r="BP12" s="265"/>
      <c r="BQ12" s="300"/>
    </row>
    <row r="13" spans="1:77" ht="13.5" thickBot="1">
      <c r="A13" s="303"/>
      <c r="B13" s="304"/>
      <c r="C13" s="304"/>
      <c r="D13" s="305"/>
      <c r="E13" s="305"/>
      <c r="F13" s="305"/>
      <c r="G13" s="305"/>
      <c r="H13" s="305"/>
      <c r="I13" s="305"/>
      <c r="J13" s="305"/>
      <c r="K13" s="305"/>
      <c r="L13" s="305"/>
      <c r="M13" s="305"/>
      <c r="N13" s="305"/>
      <c r="O13" s="305"/>
      <c r="P13" s="305"/>
      <c r="Q13" s="305"/>
      <c r="R13" s="305"/>
      <c r="S13" s="305"/>
      <c r="T13" s="305"/>
      <c r="U13" s="305"/>
      <c r="V13" s="305"/>
      <c r="W13" s="305"/>
      <c r="X13" s="305"/>
      <c r="Y13" s="305"/>
      <c r="Z13" s="305"/>
      <c r="AA13" s="305"/>
      <c r="AB13" s="305"/>
      <c r="AC13" s="305"/>
      <c r="AD13" s="305"/>
      <c r="AE13" s="305"/>
      <c r="AF13" s="305"/>
      <c r="AG13" s="305"/>
      <c r="AH13" s="305"/>
      <c r="AI13" s="305"/>
      <c r="AJ13" s="305"/>
      <c r="AK13" s="305"/>
      <c r="AL13" s="305"/>
      <c r="AM13" s="305"/>
      <c r="AN13" s="305"/>
      <c r="AO13" s="305"/>
      <c r="AP13" s="305"/>
      <c r="AQ13" s="305"/>
      <c r="AR13" s="305"/>
      <c r="AS13" s="305"/>
      <c r="AT13" s="305"/>
      <c r="AU13" s="305"/>
      <c r="AV13" s="305"/>
      <c r="AW13" s="305"/>
      <c r="AX13" s="305"/>
      <c r="AY13" s="305"/>
      <c r="AZ13" s="305"/>
      <c r="BA13" s="305"/>
      <c r="BB13" s="305"/>
      <c r="BC13" s="305"/>
      <c r="BD13" s="305"/>
      <c r="BE13" s="305"/>
      <c r="BF13" s="305"/>
      <c r="BG13" s="305"/>
      <c r="BH13" s="305"/>
      <c r="BI13" s="305"/>
      <c r="BJ13" s="305"/>
      <c r="BK13" s="305"/>
      <c r="BL13" s="305"/>
      <c r="BM13" s="305"/>
      <c r="BN13" s="305"/>
      <c r="BO13" s="305"/>
      <c r="BP13" s="305"/>
      <c r="BQ13" s="306"/>
    </row>
    <row r="14" spans="1:77" ht="18.75" thickBot="1">
      <c r="A14" s="755" t="s">
        <v>468</v>
      </c>
      <c r="B14" s="756"/>
      <c r="C14" s="287"/>
      <c r="D14" s="288"/>
      <c r="E14" s="288"/>
      <c r="F14" s="288"/>
      <c r="G14" s="288" t="s">
        <v>268</v>
      </c>
      <c r="H14" s="288"/>
      <c r="I14" s="288"/>
      <c r="J14" s="288"/>
      <c r="K14" s="288"/>
      <c r="L14" s="288"/>
      <c r="M14" s="288"/>
      <c r="N14" s="288"/>
      <c r="O14" s="288"/>
      <c r="P14" s="288"/>
      <c r="Q14" s="288"/>
      <c r="R14" s="288"/>
      <c r="S14" s="288"/>
      <c r="T14" s="288"/>
      <c r="U14" s="288"/>
      <c r="V14" s="288"/>
      <c r="W14" s="288"/>
      <c r="X14" s="288"/>
      <c r="Y14" s="288"/>
      <c r="Z14" s="288"/>
      <c r="AA14" s="288"/>
      <c r="AB14" s="288"/>
      <c r="AC14" s="288"/>
      <c r="AD14" s="288"/>
      <c r="AE14" s="288"/>
      <c r="AF14" s="288"/>
      <c r="AG14" s="288"/>
      <c r="AH14" s="288"/>
      <c r="AI14" s="288"/>
      <c r="AJ14" s="288"/>
      <c r="AK14" s="288"/>
      <c r="AL14" s="288"/>
      <c r="AM14" s="288"/>
      <c r="AN14" s="288"/>
      <c r="AO14" s="288"/>
      <c r="AP14" s="288"/>
      <c r="AQ14" s="288"/>
      <c r="AR14" s="288"/>
      <c r="AS14" s="288"/>
      <c r="AT14" s="288"/>
      <c r="AU14" s="288"/>
      <c r="AV14" s="288"/>
      <c r="AW14" s="288"/>
      <c r="AX14" s="288"/>
      <c r="AY14" s="288"/>
      <c r="AZ14" s="288"/>
      <c r="BA14" s="288"/>
      <c r="BB14" s="288"/>
      <c r="BC14" s="288"/>
      <c r="BD14" s="288"/>
      <c r="BE14" s="288"/>
      <c r="BF14" s="288"/>
      <c r="BG14" s="288"/>
      <c r="BH14" s="288"/>
      <c r="BI14" s="288"/>
      <c r="BJ14" s="288"/>
      <c r="BK14" s="288"/>
      <c r="BL14" s="288"/>
      <c r="BM14" s="288"/>
      <c r="BN14" s="288"/>
      <c r="BO14" s="288"/>
      <c r="BP14" s="288"/>
      <c r="BQ14" s="289"/>
    </row>
    <row r="15" spans="1:77" ht="13.5" thickBot="1">
      <c r="A15" s="290"/>
      <c r="B15" s="291"/>
      <c r="C15" s="292" t="s">
        <v>329</v>
      </c>
      <c r="D15" s="293">
        <f>E15-1</f>
        <v>-3</v>
      </c>
      <c r="E15" s="293">
        <f>F15-1</f>
        <v>-2</v>
      </c>
      <c r="F15" s="293">
        <f>G15-1</f>
        <v>-1</v>
      </c>
      <c r="G15" s="533">
        <f>'8D-Report'!$I$6</f>
        <v>0</v>
      </c>
      <c r="H15" s="294">
        <f>G15+1</f>
        <v>1</v>
      </c>
      <c r="I15" s="294">
        <f t="shared" ref="I15:BP15" si="2">H15+1</f>
        <v>2</v>
      </c>
      <c r="J15" s="294">
        <f t="shared" si="2"/>
        <v>3</v>
      </c>
      <c r="K15" s="294">
        <f t="shared" si="2"/>
        <v>4</v>
      </c>
      <c r="L15" s="294">
        <f t="shared" si="2"/>
        <v>5</v>
      </c>
      <c r="M15" s="294">
        <f t="shared" si="2"/>
        <v>6</v>
      </c>
      <c r="N15" s="294">
        <f t="shared" si="2"/>
        <v>7</v>
      </c>
      <c r="O15" s="294">
        <f t="shared" si="2"/>
        <v>8</v>
      </c>
      <c r="P15" s="294">
        <f t="shared" si="2"/>
        <v>9</v>
      </c>
      <c r="Q15" s="294">
        <f t="shared" si="2"/>
        <v>10</v>
      </c>
      <c r="R15" s="294">
        <f t="shared" si="2"/>
        <v>11</v>
      </c>
      <c r="S15" s="294">
        <f t="shared" si="2"/>
        <v>12</v>
      </c>
      <c r="T15" s="294">
        <f t="shared" si="2"/>
        <v>13</v>
      </c>
      <c r="U15" s="294">
        <f t="shared" si="2"/>
        <v>14</v>
      </c>
      <c r="V15" s="294">
        <f t="shared" si="2"/>
        <v>15</v>
      </c>
      <c r="W15" s="294">
        <f t="shared" si="2"/>
        <v>16</v>
      </c>
      <c r="X15" s="294">
        <f t="shared" si="2"/>
        <v>17</v>
      </c>
      <c r="Y15" s="294">
        <f t="shared" si="2"/>
        <v>18</v>
      </c>
      <c r="Z15" s="294">
        <f t="shared" si="2"/>
        <v>19</v>
      </c>
      <c r="AA15" s="294">
        <f t="shared" si="2"/>
        <v>20</v>
      </c>
      <c r="AB15" s="294">
        <f t="shared" si="2"/>
        <v>21</v>
      </c>
      <c r="AC15" s="294">
        <f t="shared" si="2"/>
        <v>22</v>
      </c>
      <c r="AD15" s="294">
        <f t="shared" si="2"/>
        <v>23</v>
      </c>
      <c r="AE15" s="294">
        <f t="shared" si="2"/>
        <v>24</v>
      </c>
      <c r="AF15" s="294">
        <f t="shared" si="2"/>
        <v>25</v>
      </c>
      <c r="AG15" s="294">
        <f t="shared" si="2"/>
        <v>26</v>
      </c>
      <c r="AH15" s="294">
        <f t="shared" si="2"/>
        <v>27</v>
      </c>
      <c r="AI15" s="294">
        <f t="shared" si="2"/>
        <v>28</v>
      </c>
      <c r="AJ15" s="294">
        <f t="shared" si="2"/>
        <v>29</v>
      </c>
      <c r="AK15" s="294">
        <f t="shared" si="2"/>
        <v>30</v>
      </c>
      <c r="AL15" s="294">
        <f t="shared" si="2"/>
        <v>31</v>
      </c>
      <c r="AM15" s="294">
        <f t="shared" si="2"/>
        <v>32</v>
      </c>
      <c r="AN15" s="294">
        <f t="shared" si="2"/>
        <v>33</v>
      </c>
      <c r="AO15" s="294">
        <f t="shared" si="2"/>
        <v>34</v>
      </c>
      <c r="AP15" s="294">
        <f t="shared" si="2"/>
        <v>35</v>
      </c>
      <c r="AQ15" s="294">
        <f t="shared" si="2"/>
        <v>36</v>
      </c>
      <c r="AR15" s="294">
        <f t="shared" si="2"/>
        <v>37</v>
      </c>
      <c r="AS15" s="294">
        <f t="shared" si="2"/>
        <v>38</v>
      </c>
      <c r="AT15" s="294">
        <f t="shared" si="2"/>
        <v>39</v>
      </c>
      <c r="AU15" s="294">
        <f t="shared" si="2"/>
        <v>40</v>
      </c>
      <c r="AV15" s="294">
        <f t="shared" si="2"/>
        <v>41</v>
      </c>
      <c r="AW15" s="294">
        <f t="shared" si="2"/>
        <v>42</v>
      </c>
      <c r="AX15" s="294">
        <f t="shared" si="2"/>
        <v>43</v>
      </c>
      <c r="AY15" s="294">
        <f t="shared" si="2"/>
        <v>44</v>
      </c>
      <c r="AZ15" s="294">
        <f t="shared" si="2"/>
        <v>45</v>
      </c>
      <c r="BA15" s="294">
        <f t="shared" si="2"/>
        <v>46</v>
      </c>
      <c r="BB15" s="294">
        <f t="shared" si="2"/>
        <v>47</v>
      </c>
      <c r="BC15" s="294">
        <f t="shared" si="2"/>
        <v>48</v>
      </c>
      <c r="BD15" s="294">
        <f t="shared" si="2"/>
        <v>49</v>
      </c>
      <c r="BE15" s="294">
        <f t="shared" si="2"/>
        <v>50</v>
      </c>
      <c r="BF15" s="294">
        <f t="shared" si="2"/>
        <v>51</v>
      </c>
      <c r="BG15" s="294">
        <f t="shared" si="2"/>
        <v>52</v>
      </c>
      <c r="BH15" s="294">
        <f t="shared" si="2"/>
        <v>53</v>
      </c>
      <c r="BI15" s="294">
        <f t="shared" si="2"/>
        <v>54</v>
      </c>
      <c r="BJ15" s="294">
        <f t="shared" si="2"/>
        <v>55</v>
      </c>
      <c r="BK15" s="294">
        <f t="shared" si="2"/>
        <v>56</v>
      </c>
      <c r="BL15" s="294">
        <f t="shared" si="2"/>
        <v>57</v>
      </c>
      <c r="BM15" s="294">
        <f t="shared" si="2"/>
        <v>58</v>
      </c>
      <c r="BN15" s="294">
        <f t="shared" si="2"/>
        <v>59</v>
      </c>
      <c r="BO15" s="294">
        <f t="shared" si="2"/>
        <v>60</v>
      </c>
      <c r="BP15" s="295">
        <f t="shared" si="2"/>
        <v>61</v>
      </c>
      <c r="BQ15" s="300"/>
    </row>
    <row r="16" spans="1:77">
      <c r="A16" s="290"/>
      <c r="B16" s="298" t="s">
        <v>189</v>
      </c>
      <c r="C16" s="299">
        <f>SUM(D16:BP16)</f>
        <v>0</v>
      </c>
      <c r="D16" s="260"/>
      <c r="E16" s="260"/>
      <c r="F16" s="260"/>
      <c r="G16" s="260"/>
      <c r="H16" s="260">
        <v>0</v>
      </c>
      <c r="I16" s="260">
        <v>0</v>
      </c>
      <c r="J16" s="260">
        <v>0</v>
      </c>
      <c r="K16" s="260">
        <v>0</v>
      </c>
      <c r="L16" s="260">
        <v>0</v>
      </c>
      <c r="M16" s="260">
        <v>0</v>
      </c>
      <c r="N16" s="260">
        <v>0</v>
      </c>
      <c r="O16" s="260">
        <v>0</v>
      </c>
      <c r="P16" s="260">
        <v>0</v>
      </c>
      <c r="Q16" s="260">
        <v>0</v>
      </c>
      <c r="R16" s="260">
        <v>0</v>
      </c>
      <c r="S16" s="260">
        <v>0</v>
      </c>
      <c r="T16" s="260">
        <v>0</v>
      </c>
      <c r="U16" s="260">
        <v>0</v>
      </c>
      <c r="V16" s="260">
        <v>0</v>
      </c>
      <c r="W16" s="260">
        <v>0</v>
      </c>
      <c r="X16" s="260">
        <v>0</v>
      </c>
      <c r="Y16" s="260">
        <v>0</v>
      </c>
      <c r="Z16" s="260">
        <v>0</v>
      </c>
      <c r="AA16" s="260">
        <v>0</v>
      </c>
      <c r="AB16" s="260">
        <v>0</v>
      </c>
      <c r="AC16" s="260">
        <v>0</v>
      </c>
      <c r="AD16" s="260">
        <v>0</v>
      </c>
      <c r="AE16" s="260">
        <v>0</v>
      </c>
      <c r="AF16" s="260">
        <v>0</v>
      </c>
      <c r="AG16" s="260">
        <v>0</v>
      </c>
      <c r="AH16" s="260">
        <v>0</v>
      </c>
      <c r="AI16" s="260">
        <v>0</v>
      </c>
      <c r="AJ16" s="260">
        <v>0</v>
      </c>
      <c r="AK16" s="260">
        <v>0</v>
      </c>
      <c r="AL16" s="260">
        <v>0</v>
      </c>
      <c r="AM16" s="260">
        <v>0</v>
      </c>
      <c r="AN16" s="260">
        <v>0</v>
      </c>
      <c r="AO16" s="260">
        <v>0</v>
      </c>
      <c r="AP16" s="260">
        <v>0</v>
      </c>
      <c r="AQ16" s="260">
        <v>0</v>
      </c>
      <c r="AR16" s="260">
        <v>0</v>
      </c>
      <c r="AS16" s="260">
        <v>0</v>
      </c>
      <c r="AT16" s="260">
        <v>0</v>
      </c>
      <c r="AU16" s="260">
        <v>0</v>
      </c>
      <c r="AV16" s="260">
        <v>0</v>
      </c>
      <c r="AW16" s="260">
        <v>0</v>
      </c>
      <c r="AX16" s="260">
        <v>0</v>
      </c>
      <c r="AY16" s="260">
        <v>0</v>
      </c>
      <c r="AZ16" s="260">
        <v>0</v>
      </c>
      <c r="BA16" s="260">
        <v>0</v>
      </c>
      <c r="BB16" s="260">
        <v>0</v>
      </c>
      <c r="BC16" s="260">
        <v>0</v>
      </c>
      <c r="BD16" s="260">
        <v>0</v>
      </c>
      <c r="BE16" s="260">
        <v>0</v>
      </c>
      <c r="BF16" s="260">
        <v>0</v>
      </c>
      <c r="BG16" s="260">
        <v>0</v>
      </c>
      <c r="BH16" s="260">
        <v>0</v>
      </c>
      <c r="BI16" s="260">
        <v>0</v>
      </c>
      <c r="BJ16" s="260">
        <v>0</v>
      </c>
      <c r="BK16" s="260">
        <v>0</v>
      </c>
      <c r="BL16" s="260">
        <v>0</v>
      </c>
      <c r="BM16" s="260">
        <v>0</v>
      </c>
      <c r="BN16" s="260">
        <v>0</v>
      </c>
      <c r="BO16" s="260">
        <v>0</v>
      </c>
      <c r="BP16" s="260">
        <v>0</v>
      </c>
      <c r="BQ16" s="300"/>
    </row>
    <row r="17" spans="1:69" ht="13.5" thickBot="1">
      <c r="A17" s="290"/>
      <c r="B17" s="298" t="s">
        <v>298</v>
      </c>
      <c r="C17" s="299">
        <f>SUM(D17:BP17)</f>
        <v>0</v>
      </c>
      <c r="D17" s="262"/>
      <c r="E17" s="262"/>
      <c r="F17" s="262"/>
      <c r="G17" s="262"/>
      <c r="H17" s="262">
        <v>0</v>
      </c>
      <c r="I17" s="262">
        <v>0</v>
      </c>
      <c r="J17" s="262">
        <v>0</v>
      </c>
      <c r="K17" s="262">
        <v>0</v>
      </c>
      <c r="L17" s="262">
        <v>0</v>
      </c>
      <c r="M17" s="262">
        <v>0</v>
      </c>
      <c r="N17" s="262">
        <v>0</v>
      </c>
      <c r="O17" s="262">
        <v>0</v>
      </c>
      <c r="P17" s="262">
        <v>0</v>
      </c>
      <c r="Q17" s="262">
        <v>0</v>
      </c>
      <c r="R17" s="262">
        <v>0</v>
      </c>
      <c r="S17" s="262">
        <v>0</v>
      </c>
      <c r="T17" s="262">
        <v>0</v>
      </c>
      <c r="U17" s="262">
        <v>0</v>
      </c>
      <c r="V17" s="262">
        <v>0</v>
      </c>
      <c r="W17" s="262">
        <v>0</v>
      </c>
      <c r="X17" s="262">
        <v>0</v>
      </c>
      <c r="Y17" s="262">
        <v>0</v>
      </c>
      <c r="Z17" s="262">
        <v>0</v>
      </c>
      <c r="AA17" s="262">
        <v>0</v>
      </c>
      <c r="AB17" s="262">
        <v>0</v>
      </c>
      <c r="AC17" s="262">
        <v>0</v>
      </c>
      <c r="AD17" s="262">
        <v>0</v>
      </c>
      <c r="AE17" s="262">
        <v>0</v>
      </c>
      <c r="AF17" s="262">
        <v>0</v>
      </c>
      <c r="AG17" s="262">
        <v>0</v>
      </c>
      <c r="AH17" s="262">
        <v>0</v>
      </c>
      <c r="AI17" s="262">
        <v>0</v>
      </c>
      <c r="AJ17" s="262">
        <v>0</v>
      </c>
      <c r="AK17" s="262">
        <v>0</v>
      </c>
      <c r="AL17" s="262">
        <v>0</v>
      </c>
      <c r="AM17" s="262">
        <v>0</v>
      </c>
      <c r="AN17" s="262">
        <v>0</v>
      </c>
      <c r="AO17" s="262">
        <v>0</v>
      </c>
      <c r="AP17" s="262">
        <v>0</v>
      </c>
      <c r="AQ17" s="262">
        <v>0</v>
      </c>
      <c r="AR17" s="262">
        <v>0</v>
      </c>
      <c r="AS17" s="262">
        <v>0</v>
      </c>
      <c r="AT17" s="262">
        <v>0</v>
      </c>
      <c r="AU17" s="262">
        <v>0</v>
      </c>
      <c r="AV17" s="262">
        <v>0</v>
      </c>
      <c r="AW17" s="262">
        <v>0</v>
      </c>
      <c r="AX17" s="262">
        <v>0</v>
      </c>
      <c r="AY17" s="262">
        <v>0</v>
      </c>
      <c r="AZ17" s="262">
        <v>0</v>
      </c>
      <c r="BA17" s="262">
        <v>0</v>
      </c>
      <c r="BB17" s="262">
        <v>0</v>
      </c>
      <c r="BC17" s="262">
        <v>0</v>
      </c>
      <c r="BD17" s="262">
        <v>0</v>
      </c>
      <c r="BE17" s="262">
        <v>0</v>
      </c>
      <c r="BF17" s="262">
        <v>0</v>
      </c>
      <c r="BG17" s="262">
        <v>0</v>
      </c>
      <c r="BH17" s="262">
        <v>0</v>
      </c>
      <c r="BI17" s="262">
        <v>0</v>
      </c>
      <c r="BJ17" s="262">
        <v>0</v>
      </c>
      <c r="BK17" s="262">
        <v>0</v>
      </c>
      <c r="BL17" s="262">
        <v>0</v>
      </c>
      <c r="BM17" s="262">
        <v>0</v>
      </c>
      <c r="BN17" s="262">
        <v>0</v>
      </c>
      <c r="BO17" s="262">
        <v>0</v>
      </c>
      <c r="BP17" s="262">
        <v>0</v>
      </c>
      <c r="BQ17" s="300"/>
    </row>
    <row r="18" spans="1:69" ht="13.5" thickBot="1">
      <c r="A18" s="290"/>
      <c r="B18" s="301" t="s">
        <v>467</v>
      </c>
      <c r="C18" s="302"/>
      <c r="D18" s="264"/>
      <c r="E18" s="264"/>
      <c r="F18" s="264"/>
      <c r="G18" s="264"/>
      <c r="H18" s="264"/>
      <c r="I18" s="264"/>
      <c r="J18" s="264"/>
      <c r="K18" s="264"/>
      <c r="L18" s="264"/>
      <c r="M18" s="264"/>
      <c r="N18" s="264"/>
      <c r="O18" s="264"/>
      <c r="P18" s="264"/>
      <c r="Q18" s="264"/>
      <c r="R18" s="264"/>
      <c r="S18" s="264"/>
      <c r="T18" s="264"/>
      <c r="U18" s="264"/>
      <c r="V18" s="264"/>
      <c r="W18" s="264"/>
      <c r="X18" s="264"/>
      <c r="Y18" s="264"/>
      <c r="Z18" s="264"/>
      <c r="AA18" s="264"/>
      <c r="AB18" s="264"/>
      <c r="AC18" s="264"/>
      <c r="AD18" s="264"/>
      <c r="AE18" s="264"/>
      <c r="AF18" s="264"/>
      <c r="AG18" s="264"/>
      <c r="AH18" s="264"/>
      <c r="AI18" s="264"/>
      <c r="AJ18" s="264"/>
      <c r="AK18" s="264"/>
      <c r="AL18" s="264"/>
      <c r="AM18" s="264"/>
      <c r="AN18" s="264"/>
      <c r="AO18" s="264"/>
      <c r="AP18" s="264"/>
      <c r="AQ18" s="264"/>
      <c r="AR18" s="264"/>
      <c r="AS18" s="264"/>
      <c r="AT18" s="264"/>
      <c r="AU18" s="264"/>
      <c r="AV18" s="264"/>
      <c r="AW18" s="264"/>
      <c r="AX18" s="264"/>
      <c r="AY18" s="264"/>
      <c r="AZ18" s="264"/>
      <c r="BA18" s="264"/>
      <c r="BB18" s="264"/>
      <c r="BC18" s="264"/>
      <c r="BD18" s="264"/>
      <c r="BE18" s="264"/>
      <c r="BF18" s="264"/>
      <c r="BG18" s="264"/>
      <c r="BH18" s="264"/>
      <c r="BI18" s="264"/>
      <c r="BJ18" s="264"/>
      <c r="BK18" s="264"/>
      <c r="BL18" s="264"/>
      <c r="BM18" s="264"/>
      <c r="BN18" s="264"/>
      <c r="BO18" s="264"/>
      <c r="BP18" s="265"/>
      <c r="BQ18" s="300"/>
    </row>
    <row r="19" spans="1:69" ht="13.5" thickBot="1">
      <c r="A19" s="303"/>
      <c r="B19" s="304"/>
      <c r="C19" s="304"/>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c r="BM19" s="307"/>
      <c r="BN19" s="307"/>
      <c r="BO19" s="307"/>
      <c r="BP19" s="307"/>
      <c r="BQ19" s="306"/>
    </row>
    <row r="22" spans="1:69">
      <c r="G22" s="309"/>
      <c r="H22" s="309"/>
      <c r="I22" s="309"/>
      <c r="J22" s="309"/>
      <c r="K22" s="309"/>
      <c r="L22" s="309"/>
      <c r="M22" s="309"/>
      <c r="N22" s="309"/>
      <c r="O22" s="309"/>
      <c r="P22" s="309"/>
      <c r="Q22" s="309"/>
      <c r="R22" s="309"/>
      <c r="S22" s="309"/>
      <c r="T22" s="309"/>
      <c r="U22" s="309"/>
      <c r="V22" s="309"/>
      <c r="W22" s="309"/>
      <c r="X22" s="309"/>
      <c r="Y22" s="309"/>
      <c r="Z22" s="309"/>
      <c r="AA22" s="309"/>
      <c r="AB22" s="309"/>
      <c r="AC22" s="309"/>
      <c r="AD22" s="309"/>
      <c r="AE22" s="309"/>
      <c r="AF22" s="309"/>
      <c r="AG22" s="309"/>
      <c r="AH22" s="309"/>
      <c r="AI22" s="309"/>
      <c r="AJ22" s="309"/>
      <c r="AK22" s="309"/>
      <c r="AL22" s="309"/>
    </row>
  </sheetData>
  <sheetProtection sheet="1"/>
  <protectedRanges>
    <protectedRange sqref="D1:CC65536" name="Bereich1"/>
  </protectedRanges>
  <mergeCells count="3">
    <mergeCell ref="A2:B2"/>
    <mergeCell ref="A8:B8"/>
    <mergeCell ref="A14:B14"/>
  </mergeCells>
  <phoneticPr fontId="14" type="noConversion"/>
  <pageMargins left="0.70866141732283472" right="0.70866141732283472" top="0.74803149606299213" bottom="0.74803149606299213" header="0.31496062992125984" footer="0.31496062992125984"/>
  <pageSetup paperSize="9" scale="15"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52"/>
    <pageSetUpPr fitToPage="1"/>
  </sheetPr>
  <dimension ref="A1:I52"/>
  <sheetViews>
    <sheetView view="pageBreakPreview" zoomScale="85" zoomScaleNormal="40" workbookViewId="0">
      <selection activeCell="A29" sqref="A29:C32"/>
    </sheetView>
  </sheetViews>
  <sheetFormatPr baseColWidth="10" defaultColWidth="11.42578125" defaultRowHeight="12.75"/>
  <cols>
    <col min="1" max="2" width="11.42578125" style="310" customWidth="1"/>
    <col min="3" max="3" width="44.28515625" style="310" customWidth="1"/>
    <col min="4" max="5" width="11.42578125" style="310" customWidth="1"/>
    <col min="6" max="6" width="46.85546875" style="310" customWidth="1"/>
    <col min="7" max="8" width="11.42578125" style="310" customWidth="1"/>
    <col min="9" max="9" width="25.28515625" style="310" customWidth="1"/>
    <col min="10" max="16384" width="11.42578125" style="310"/>
  </cols>
  <sheetData>
    <row r="1" spans="1:9" ht="90" customHeight="1" thickBot="1">
      <c r="A1" s="787" t="s">
        <v>118</v>
      </c>
      <c r="B1" s="787"/>
      <c r="C1" s="787"/>
      <c r="D1" s="787"/>
      <c r="E1" s="787"/>
      <c r="F1" s="787"/>
      <c r="G1" s="787"/>
      <c r="H1" s="787"/>
      <c r="I1" s="787"/>
    </row>
    <row r="2" spans="1:9" ht="28.5" customHeight="1" thickBot="1">
      <c r="A2" s="794" t="s">
        <v>414</v>
      </c>
      <c r="B2" s="795"/>
      <c r="C2" s="796"/>
      <c r="D2" s="794" t="s">
        <v>415</v>
      </c>
      <c r="E2" s="795"/>
      <c r="F2" s="796"/>
      <c r="G2" s="794" t="s">
        <v>417</v>
      </c>
      <c r="H2" s="795"/>
      <c r="I2" s="796"/>
    </row>
    <row r="3" spans="1:9" ht="13.5" customHeight="1" thickTop="1">
      <c r="A3" s="800" t="s">
        <v>402</v>
      </c>
      <c r="B3" s="801"/>
      <c r="C3" s="802"/>
      <c r="D3" s="800" t="s">
        <v>403</v>
      </c>
      <c r="E3" s="801"/>
      <c r="F3" s="802"/>
      <c r="G3" s="800" t="s">
        <v>412</v>
      </c>
      <c r="H3" s="801"/>
      <c r="I3" s="802"/>
    </row>
    <row r="4" spans="1:9">
      <c r="A4" s="788"/>
      <c r="B4" s="789"/>
      <c r="C4" s="790"/>
      <c r="D4" s="788"/>
      <c r="E4" s="789"/>
      <c r="F4" s="790"/>
      <c r="G4" s="788"/>
      <c r="H4" s="789"/>
      <c r="I4" s="790"/>
    </row>
    <row r="5" spans="1:9">
      <c r="A5" s="791"/>
      <c r="B5" s="792"/>
      <c r="C5" s="793"/>
      <c r="D5" s="791"/>
      <c r="E5" s="792"/>
      <c r="F5" s="793"/>
      <c r="G5" s="791"/>
      <c r="H5" s="792"/>
      <c r="I5" s="793"/>
    </row>
    <row r="6" spans="1:9" ht="12.75" customHeight="1">
      <c r="A6" s="788" t="s">
        <v>404</v>
      </c>
      <c r="B6" s="789"/>
      <c r="C6" s="790"/>
      <c r="D6" s="788" t="s">
        <v>405</v>
      </c>
      <c r="E6" s="789"/>
      <c r="F6" s="790"/>
      <c r="G6" s="788" t="s">
        <v>410</v>
      </c>
      <c r="H6" s="789"/>
      <c r="I6" s="790"/>
    </row>
    <row r="7" spans="1:9">
      <c r="A7" s="788"/>
      <c r="B7" s="789"/>
      <c r="C7" s="790"/>
      <c r="D7" s="788"/>
      <c r="E7" s="789"/>
      <c r="F7" s="790"/>
      <c r="G7" s="788"/>
      <c r="H7" s="789"/>
      <c r="I7" s="790"/>
    </row>
    <row r="8" spans="1:9">
      <c r="A8" s="788"/>
      <c r="B8" s="789"/>
      <c r="C8" s="790"/>
      <c r="D8" s="788"/>
      <c r="E8" s="789"/>
      <c r="F8" s="790"/>
      <c r="G8" s="788"/>
      <c r="H8" s="789"/>
      <c r="I8" s="790"/>
    </row>
    <row r="9" spans="1:9">
      <c r="A9" s="791"/>
      <c r="B9" s="792"/>
      <c r="C9" s="793"/>
      <c r="D9" s="791"/>
      <c r="E9" s="792"/>
      <c r="F9" s="793"/>
      <c r="G9" s="791"/>
      <c r="H9" s="792"/>
      <c r="I9" s="793"/>
    </row>
    <row r="10" spans="1:9" ht="20.100000000000001" customHeight="1">
      <c r="A10" s="788" t="s">
        <v>406</v>
      </c>
      <c r="B10" s="789"/>
      <c r="C10" s="790"/>
      <c r="D10" s="788" t="s">
        <v>407</v>
      </c>
      <c r="E10" s="789"/>
      <c r="F10" s="790"/>
      <c r="G10" s="788" t="s">
        <v>411</v>
      </c>
      <c r="H10" s="789"/>
      <c r="I10" s="790"/>
    </row>
    <row r="11" spans="1:9" ht="20.100000000000001" customHeight="1">
      <c r="A11" s="791"/>
      <c r="B11" s="792"/>
      <c r="C11" s="793"/>
      <c r="D11" s="791"/>
      <c r="E11" s="792"/>
      <c r="F11" s="793"/>
      <c r="G11" s="791"/>
      <c r="H11" s="792"/>
      <c r="I11" s="793"/>
    </row>
    <row r="12" spans="1:9" ht="12.4" customHeight="1">
      <c r="A12" s="797" t="s">
        <v>408</v>
      </c>
      <c r="B12" s="798"/>
      <c r="C12" s="799"/>
      <c r="D12" s="797" t="s">
        <v>409</v>
      </c>
      <c r="E12" s="798"/>
      <c r="F12" s="799"/>
      <c r="G12" s="797" t="s">
        <v>413</v>
      </c>
      <c r="H12" s="798"/>
      <c r="I12" s="799"/>
    </row>
    <row r="13" spans="1:9" ht="12.4" customHeight="1">
      <c r="A13" s="788"/>
      <c r="B13" s="789"/>
      <c r="C13" s="790"/>
      <c r="D13" s="788"/>
      <c r="E13" s="789"/>
      <c r="F13" s="790"/>
      <c r="G13" s="788"/>
      <c r="H13" s="789"/>
      <c r="I13" s="790"/>
    </row>
    <row r="14" spans="1:9" ht="12.4" customHeight="1">
      <c r="A14" s="791"/>
      <c r="B14" s="792"/>
      <c r="C14" s="793"/>
      <c r="D14" s="791"/>
      <c r="E14" s="792"/>
      <c r="F14" s="793"/>
      <c r="G14" s="791"/>
      <c r="H14" s="792"/>
      <c r="I14" s="793"/>
    </row>
    <row r="15" spans="1:9" ht="12.75" customHeight="1">
      <c r="A15" s="797" t="s">
        <v>478</v>
      </c>
      <c r="B15" s="798"/>
      <c r="C15" s="799"/>
      <c r="D15" s="797" t="s">
        <v>477</v>
      </c>
      <c r="E15" s="798"/>
      <c r="F15" s="799"/>
      <c r="G15" s="797" t="s">
        <v>476</v>
      </c>
      <c r="H15" s="798"/>
      <c r="I15" s="799"/>
    </row>
    <row r="16" spans="1:9">
      <c r="A16" s="788"/>
      <c r="B16" s="789"/>
      <c r="C16" s="790"/>
      <c r="D16" s="788"/>
      <c r="E16" s="789"/>
      <c r="F16" s="790"/>
      <c r="G16" s="788"/>
      <c r="H16" s="789"/>
      <c r="I16" s="790"/>
    </row>
    <row r="17" spans="1:9">
      <c r="A17" s="791"/>
      <c r="B17" s="792"/>
      <c r="C17" s="793"/>
      <c r="D17" s="791"/>
      <c r="E17" s="792"/>
      <c r="F17" s="793"/>
      <c r="G17" s="791"/>
      <c r="H17" s="792"/>
      <c r="I17" s="793"/>
    </row>
    <row r="18" spans="1:9" ht="12.75" customHeight="1">
      <c r="A18" s="797" t="s">
        <v>479</v>
      </c>
      <c r="B18" s="798"/>
      <c r="C18" s="799"/>
      <c r="D18" s="797" t="s">
        <v>480</v>
      </c>
      <c r="E18" s="798"/>
      <c r="F18" s="799"/>
      <c r="G18" s="797" t="s">
        <v>481</v>
      </c>
      <c r="H18" s="798"/>
      <c r="I18" s="799"/>
    </row>
    <row r="19" spans="1:9">
      <c r="A19" s="788"/>
      <c r="B19" s="789"/>
      <c r="C19" s="790"/>
      <c r="D19" s="788"/>
      <c r="E19" s="789"/>
      <c r="F19" s="790"/>
      <c r="G19" s="788"/>
      <c r="H19" s="789"/>
      <c r="I19" s="790"/>
    </row>
    <row r="20" spans="1:9" ht="13.5" thickBot="1">
      <c r="A20" s="791"/>
      <c r="B20" s="792"/>
      <c r="C20" s="793"/>
      <c r="D20" s="791"/>
      <c r="E20" s="792"/>
      <c r="F20" s="793"/>
      <c r="G20" s="791"/>
      <c r="H20" s="792"/>
      <c r="I20" s="793"/>
    </row>
    <row r="21" spans="1:9" ht="12.75" customHeight="1">
      <c r="A21" s="772" t="s">
        <v>482</v>
      </c>
      <c r="B21" s="773"/>
      <c r="C21" s="773"/>
      <c r="D21" s="773"/>
      <c r="E21" s="773"/>
      <c r="F21" s="773"/>
      <c r="G21" s="773"/>
      <c r="H21" s="773"/>
      <c r="I21" s="774"/>
    </row>
    <row r="22" spans="1:9">
      <c r="A22" s="775"/>
      <c r="B22" s="776"/>
      <c r="C22" s="776"/>
      <c r="D22" s="776"/>
      <c r="E22" s="776"/>
      <c r="F22" s="776"/>
      <c r="G22" s="776"/>
      <c r="H22" s="776"/>
      <c r="I22" s="777"/>
    </row>
    <row r="23" spans="1:9" ht="13.5" thickBot="1">
      <c r="A23" s="778"/>
      <c r="B23" s="779"/>
      <c r="C23" s="779"/>
      <c r="D23" s="779"/>
      <c r="E23" s="779"/>
      <c r="F23" s="779"/>
      <c r="G23" s="779"/>
      <c r="H23" s="779"/>
      <c r="I23" s="780"/>
    </row>
    <row r="24" spans="1:9" ht="37.5" customHeight="1" thickBot="1">
      <c r="A24" s="781" t="str">
        <f>IF('8D-Report'!D7&lt;&gt;"",'8D-Report'!D7,"Please declare the problem in D1")</f>
        <v>Please declare the problem in D1</v>
      </c>
      <c r="B24" s="782"/>
      <c r="C24" s="782"/>
      <c r="D24" s="782"/>
      <c r="E24" s="782"/>
      <c r="F24" s="782"/>
      <c r="G24" s="782"/>
      <c r="H24" s="782"/>
      <c r="I24" s="783"/>
    </row>
    <row r="25" spans="1:9" ht="28.5" customHeight="1" thickTop="1" thickBot="1">
      <c r="A25" s="784" t="s">
        <v>414</v>
      </c>
      <c r="B25" s="785"/>
      <c r="C25" s="786"/>
      <c r="D25" s="784" t="s">
        <v>415</v>
      </c>
      <c r="E25" s="785"/>
      <c r="F25" s="786"/>
      <c r="G25" s="784" t="s">
        <v>417</v>
      </c>
      <c r="H25" s="785"/>
      <c r="I25" s="786"/>
    </row>
    <row r="26" spans="1:9" ht="13.5" customHeight="1" thickTop="1">
      <c r="A26" s="769"/>
      <c r="B26" s="770"/>
      <c r="C26" s="771"/>
      <c r="D26" s="769"/>
      <c r="E26" s="770"/>
      <c r="F26" s="771"/>
      <c r="G26" s="769"/>
      <c r="H26" s="770"/>
      <c r="I26" s="771"/>
    </row>
    <row r="27" spans="1:9">
      <c r="A27" s="757"/>
      <c r="B27" s="758"/>
      <c r="C27" s="759"/>
      <c r="D27" s="757"/>
      <c r="E27" s="758"/>
      <c r="F27" s="759"/>
      <c r="G27" s="757"/>
      <c r="H27" s="758"/>
      <c r="I27" s="759"/>
    </row>
    <row r="28" spans="1:9">
      <c r="A28" s="766"/>
      <c r="B28" s="767"/>
      <c r="C28" s="768"/>
      <c r="D28" s="766"/>
      <c r="E28" s="767"/>
      <c r="F28" s="768"/>
      <c r="G28" s="766"/>
      <c r="H28" s="767"/>
      <c r="I28" s="768"/>
    </row>
    <row r="29" spans="1:9" ht="12.75" customHeight="1">
      <c r="A29" s="757"/>
      <c r="B29" s="758"/>
      <c r="C29" s="759"/>
      <c r="D29" s="757"/>
      <c r="E29" s="758"/>
      <c r="F29" s="759"/>
      <c r="G29" s="757"/>
      <c r="H29" s="758"/>
      <c r="I29" s="759"/>
    </row>
    <row r="30" spans="1:9">
      <c r="A30" s="757"/>
      <c r="B30" s="758"/>
      <c r="C30" s="759"/>
      <c r="D30" s="757"/>
      <c r="E30" s="758"/>
      <c r="F30" s="759"/>
      <c r="G30" s="757"/>
      <c r="H30" s="758"/>
      <c r="I30" s="759"/>
    </row>
    <row r="31" spans="1:9" ht="1.5" customHeight="1">
      <c r="A31" s="757"/>
      <c r="B31" s="758"/>
      <c r="C31" s="759"/>
      <c r="D31" s="757"/>
      <c r="E31" s="758"/>
      <c r="F31" s="759"/>
      <c r="G31" s="757"/>
      <c r="H31" s="758"/>
      <c r="I31" s="759"/>
    </row>
    <row r="32" spans="1:9">
      <c r="A32" s="766"/>
      <c r="B32" s="767"/>
      <c r="C32" s="768"/>
      <c r="D32" s="766"/>
      <c r="E32" s="767"/>
      <c r="F32" s="768"/>
      <c r="G32" s="766"/>
      <c r="H32" s="767"/>
      <c r="I32" s="768"/>
    </row>
    <row r="33" spans="1:9" ht="12.75" customHeight="1">
      <c r="A33" s="757"/>
      <c r="B33" s="758"/>
      <c r="C33" s="759"/>
      <c r="D33" s="757"/>
      <c r="E33" s="758"/>
      <c r="F33" s="759"/>
      <c r="G33" s="757"/>
      <c r="H33" s="758"/>
      <c r="I33" s="759"/>
    </row>
    <row r="34" spans="1:9" ht="26.25" customHeight="1">
      <c r="A34" s="766"/>
      <c r="B34" s="767"/>
      <c r="C34" s="768"/>
      <c r="D34" s="766"/>
      <c r="E34" s="767"/>
      <c r="F34" s="768"/>
      <c r="G34" s="766"/>
      <c r="H34" s="767"/>
      <c r="I34" s="768"/>
    </row>
    <row r="35" spans="1:9" ht="12.75" customHeight="1">
      <c r="A35" s="757"/>
      <c r="B35" s="758"/>
      <c r="C35" s="759"/>
      <c r="D35" s="757"/>
      <c r="E35" s="758"/>
      <c r="F35" s="759"/>
      <c r="G35" s="757"/>
      <c r="H35" s="758"/>
      <c r="I35" s="759"/>
    </row>
    <row r="36" spans="1:9">
      <c r="A36" s="757"/>
      <c r="B36" s="758"/>
      <c r="C36" s="759"/>
      <c r="D36" s="757"/>
      <c r="E36" s="758"/>
      <c r="F36" s="759"/>
      <c r="G36" s="757"/>
      <c r="H36" s="758"/>
      <c r="I36" s="759"/>
    </row>
    <row r="37" spans="1:9">
      <c r="A37" s="766"/>
      <c r="B37" s="767"/>
      <c r="C37" s="768"/>
      <c r="D37" s="766"/>
      <c r="E37" s="767"/>
      <c r="F37" s="768"/>
      <c r="G37" s="766"/>
      <c r="H37" s="767"/>
      <c r="I37" s="768"/>
    </row>
    <row r="38" spans="1:9" ht="12.75" customHeight="1">
      <c r="A38" s="763"/>
      <c r="B38" s="764"/>
      <c r="C38" s="765"/>
      <c r="D38" s="763"/>
      <c r="E38" s="764"/>
      <c r="F38" s="765"/>
      <c r="G38" s="763"/>
      <c r="H38" s="764"/>
      <c r="I38" s="765"/>
    </row>
    <row r="39" spans="1:9" ht="30" customHeight="1">
      <c r="A39" s="766"/>
      <c r="B39" s="767"/>
      <c r="C39" s="768"/>
      <c r="D39" s="766"/>
      <c r="E39" s="767"/>
      <c r="F39" s="768"/>
      <c r="G39" s="766"/>
      <c r="H39" s="767"/>
      <c r="I39" s="768"/>
    </row>
    <row r="40" spans="1:9" ht="12.75" customHeight="1">
      <c r="A40" s="763"/>
      <c r="B40" s="764"/>
      <c r="C40" s="765"/>
      <c r="D40" s="763"/>
      <c r="E40" s="764"/>
      <c r="F40" s="765"/>
      <c r="G40" s="763"/>
      <c r="H40" s="764"/>
      <c r="I40" s="765"/>
    </row>
    <row r="41" spans="1:9">
      <c r="A41" s="757"/>
      <c r="B41" s="758"/>
      <c r="C41" s="759"/>
      <c r="D41" s="757"/>
      <c r="E41" s="758"/>
      <c r="F41" s="759"/>
      <c r="G41" s="757"/>
      <c r="H41" s="758"/>
      <c r="I41" s="759"/>
    </row>
    <row r="42" spans="1:9">
      <c r="A42" s="766"/>
      <c r="B42" s="767"/>
      <c r="C42" s="768"/>
      <c r="D42" s="766"/>
      <c r="E42" s="767"/>
      <c r="F42" s="768"/>
      <c r="G42" s="766"/>
      <c r="H42" s="767"/>
      <c r="I42" s="768"/>
    </row>
    <row r="43" spans="1:9">
      <c r="A43" s="763"/>
      <c r="B43" s="764"/>
      <c r="C43" s="765"/>
      <c r="D43" s="763"/>
      <c r="E43" s="764"/>
      <c r="F43" s="765"/>
      <c r="G43" s="763"/>
      <c r="H43" s="764"/>
      <c r="I43" s="765"/>
    </row>
    <row r="44" spans="1:9">
      <c r="A44" s="757"/>
      <c r="B44" s="758"/>
      <c r="C44" s="759"/>
      <c r="D44" s="757"/>
      <c r="E44" s="758"/>
      <c r="F44" s="759"/>
      <c r="G44" s="757"/>
      <c r="H44" s="758"/>
      <c r="I44" s="759"/>
    </row>
    <row r="45" spans="1:9">
      <c r="A45" s="766"/>
      <c r="B45" s="767"/>
      <c r="C45" s="768"/>
      <c r="D45" s="766"/>
      <c r="E45" s="767"/>
      <c r="F45" s="768"/>
      <c r="G45" s="766"/>
      <c r="H45" s="767"/>
      <c r="I45" s="768"/>
    </row>
    <row r="46" spans="1:9">
      <c r="A46" s="763"/>
      <c r="B46" s="764"/>
      <c r="C46" s="765"/>
      <c r="D46" s="763"/>
      <c r="E46" s="764"/>
      <c r="F46" s="765"/>
      <c r="G46" s="763"/>
      <c r="H46" s="764"/>
      <c r="I46" s="765"/>
    </row>
    <row r="47" spans="1:9">
      <c r="A47" s="757"/>
      <c r="B47" s="758"/>
      <c r="C47" s="759"/>
      <c r="D47" s="757"/>
      <c r="E47" s="758"/>
      <c r="F47" s="759"/>
      <c r="G47" s="757"/>
      <c r="H47" s="758"/>
      <c r="I47" s="759"/>
    </row>
    <row r="48" spans="1:9">
      <c r="A48" s="766"/>
      <c r="B48" s="767"/>
      <c r="C48" s="768"/>
      <c r="D48" s="766"/>
      <c r="E48" s="767"/>
      <c r="F48" s="768"/>
      <c r="G48" s="766"/>
      <c r="H48" s="767"/>
      <c r="I48" s="768"/>
    </row>
    <row r="49" spans="1:9" ht="12.75" customHeight="1">
      <c r="A49" s="757"/>
      <c r="B49" s="758"/>
      <c r="C49" s="759"/>
      <c r="D49" s="757"/>
      <c r="E49" s="758"/>
      <c r="F49" s="759"/>
      <c r="G49" s="757"/>
      <c r="H49" s="758"/>
      <c r="I49" s="759"/>
    </row>
    <row r="50" spans="1:9">
      <c r="A50" s="757"/>
      <c r="B50" s="758"/>
      <c r="C50" s="759"/>
      <c r="D50" s="757"/>
      <c r="E50" s="758"/>
      <c r="F50" s="759"/>
      <c r="G50" s="757"/>
      <c r="H50" s="758"/>
      <c r="I50" s="759"/>
    </row>
    <row r="51" spans="1:9" ht="13.5" thickBot="1">
      <c r="A51" s="760"/>
      <c r="B51" s="761"/>
      <c r="C51" s="762"/>
      <c r="D51" s="760"/>
      <c r="E51" s="761"/>
      <c r="F51" s="762"/>
      <c r="G51" s="760"/>
      <c r="H51" s="761"/>
      <c r="I51" s="762"/>
    </row>
    <row r="52" spans="1:9" ht="13.5" thickTop="1"/>
  </sheetData>
  <sheetProtection sheet="1"/>
  <mergeCells count="54">
    <mergeCell ref="A18:C20"/>
    <mergeCell ref="G3:I5"/>
    <mergeCell ref="A6:C9"/>
    <mergeCell ref="G18:I20"/>
    <mergeCell ref="A12:C14"/>
    <mergeCell ref="G12:I14"/>
    <mergeCell ref="D18:F20"/>
    <mergeCell ref="A15:C17"/>
    <mergeCell ref="D15:F17"/>
    <mergeCell ref="G15:I17"/>
    <mergeCell ref="A1:I1"/>
    <mergeCell ref="G6:I9"/>
    <mergeCell ref="A2:C2"/>
    <mergeCell ref="D2:F2"/>
    <mergeCell ref="D12:F14"/>
    <mergeCell ref="G2:I2"/>
    <mergeCell ref="G10:I11"/>
    <mergeCell ref="D6:F9"/>
    <mergeCell ref="A3:C5"/>
    <mergeCell ref="A10:C11"/>
    <mergeCell ref="D3:F5"/>
    <mergeCell ref="D10:F11"/>
    <mergeCell ref="A21:I23"/>
    <mergeCell ref="A24:I24"/>
    <mergeCell ref="A29:C32"/>
    <mergeCell ref="D29:F32"/>
    <mergeCell ref="G26:I28"/>
    <mergeCell ref="G29:I32"/>
    <mergeCell ref="A25:C25"/>
    <mergeCell ref="D25:F25"/>
    <mergeCell ref="G25:I25"/>
    <mergeCell ref="D26:F28"/>
    <mergeCell ref="A26:C28"/>
    <mergeCell ref="A33:C34"/>
    <mergeCell ref="G35:I37"/>
    <mergeCell ref="D35:F37"/>
    <mergeCell ref="A35:C37"/>
    <mergeCell ref="D33:F34"/>
    <mergeCell ref="G33:I34"/>
    <mergeCell ref="G49:I51"/>
    <mergeCell ref="G38:I39"/>
    <mergeCell ref="G43:I45"/>
    <mergeCell ref="G46:I48"/>
    <mergeCell ref="A49:C51"/>
    <mergeCell ref="D40:F42"/>
    <mergeCell ref="D49:F51"/>
    <mergeCell ref="A43:C45"/>
    <mergeCell ref="D43:F45"/>
    <mergeCell ref="A46:C48"/>
    <mergeCell ref="D46:F48"/>
    <mergeCell ref="A40:C42"/>
    <mergeCell ref="G40:I42"/>
    <mergeCell ref="A38:C39"/>
    <mergeCell ref="D38:F39"/>
  </mergeCells>
  <phoneticPr fontId="14" type="noConversion"/>
  <pageMargins left="0.70866141732283472" right="0.70866141732283472" top="0.74803149606299213" bottom="0.74803149606299213" header="0.31496062992125984" footer="0.31496062992125984"/>
  <pageSetup paperSize="9" scale="47"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rowBreaks count="1" manualBreakCount="1">
    <brk id="51" max="16383" man="1"/>
  </row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tabColor indexed="52"/>
    <pageSetUpPr fitToPage="1"/>
  </sheetPr>
  <dimension ref="A1:BK57"/>
  <sheetViews>
    <sheetView view="pageBreakPreview" zoomScaleNormal="85" workbookViewId="0">
      <selection activeCell="X27" sqref="X27"/>
    </sheetView>
  </sheetViews>
  <sheetFormatPr baseColWidth="10" defaultColWidth="11.42578125" defaultRowHeight="12.75"/>
  <cols>
    <col min="1" max="62" width="3.140625" customWidth="1"/>
  </cols>
  <sheetData>
    <row r="1" spans="1:63" ht="21" thickBot="1">
      <c r="A1" s="812" t="s">
        <v>119</v>
      </c>
      <c r="B1" s="813"/>
      <c r="C1" s="813"/>
      <c r="D1" s="813"/>
      <c r="E1" s="813"/>
      <c r="F1" s="813"/>
      <c r="G1" s="813"/>
      <c r="H1" s="813"/>
      <c r="I1" s="813"/>
      <c r="J1" s="813"/>
      <c r="K1" s="813"/>
      <c r="L1" s="813"/>
      <c r="M1" s="813"/>
      <c r="N1" s="813"/>
      <c r="O1" s="813"/>
      <c r="P1" s="813"/>
      <c r="Q1" s="813"/>
      <c r="R1" s="813"/>
      <c r="S1" s="813"/>
      <c r="T1" s="813"/>
      <c r="U1" s="813"/>
      <c r="V1" s="813"/>
      <c r="W1" s="813"/>
      <c r="X1" s="813"/>
      <c r="Y1" s="813"/>
      <c r="Z1" s="813"/>
      <c r="AA1" s="813"/>
      <c r="AB1" s="813"/>
      <c r="AC1" s="813"/>
      <c r="AD1" s="813"/>
      <c r="AE1" s="813"/>
      <c r="AF1" s="813"/>
      <c r="AG1" s="813"/>
      <c r="AH1" s="813"/>
      <c r="AI1" s="813"/>
      <c r="AJ1" s="813"/>
      <c r="AK1" s="813"/>
      <c r="AL1" s="813"/>
      <c r="AM1" s="813"/>
      <c r="AN1" s="813"/>
      <c r="AO1" s="813"/>
      <c r="AP1" s="813"/>
      <c r="AQ1" s="813"/>
      <c r="AR1" s="813"/>
      <c r="AS1" s="813"/>
      <c r="AT1" s="813"/>
      <c r="AU1" s="813"/>
      <c r="AV1" s="813"/>
      <c r="AW1" s="813"/>
      <c r="AX1" s="813"/>
      <c r="AY1" s="813"/>
      <c r="AZ1" s="813"/>
      <c r="BA1" s="813"/>
      <c r="BB1" s="813"/>
      <c r="BC1" s="813"/>
      <c r="BD1" s="813"/>
      <c r="BE1" s="813"/>
      <c r="BF1" s="813"/>
      <c r="BG1" s="814"/>
    </row>
    <row r="2" spans="1:63" ht="6.75" customHeight="1">
      <c r="A2" s="29"/>
      <c r="B2" s="94"/>
      <c r="C2" s="94"/>
      <c r="D2" s="94"/>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30"/>
    </row>
    <row r="3" spans="1:63" ht="13.5" thickBot="1">
      <c r="A3" s="29"/>
      <c r="B3" s="155"/>
      <c r="C3" s="156"/>
      <c r="D3" s="156"/>
      <c r="E3" s="94"/>
      <c r="F3" s="94"/>
      <c r="G3" s="94"/>
      <c r="H3" s="94"/>
      <c r="I3" s="94"/>
      <c r="J3" s="94"/>
      <c r="K3" s="94"/>
      <c r="L3" s="94"/>
      <c r="M3" s="94"/>
      <c r="N3" s="94"/>
      <c r="O3" s="94"/>
      <c r="P3" s="94"/>
      <c r="Q3" s="94"/>
      <c r="R3" s="94"/>
      <c r="S3" s="94"/>
      <c r="T3" s="94"/>
      <c r="U3" s="94"/>
      <c r="V3" s="94"/>
      <c r="W3" s="94"/>
      <c r="X3" s="94"/>
      <c r="Y3" s="94"/>
      <c r="Z3" s="94"/>
      <c r="AA3" s="94"/>
      <c r="AB3" s="94"/>
      <c r="AC3" s="94"/>
      <c r="AD3" s="94"/>
      <c r="AE3" s="94"/>
      <c r="AF3" s="94"/>
      <c r="AG3" s="94"/>
      <c r="AH3" s="94"/>
      <c r="AI3" s="94"/>
      <c r="AJ3" s="94"/>
      <c r="AK3" s="94"/>
      <c r="AL3" s="94"/>
      <c r="AM3" s="94"/>
      <c r="AN3" s="94"/>
      <c r="AO3" s="94"/>
      <c r="AP3" s="94"/>
      <c r="AQ3" s="94"/>
      <c r="AR3" s="94"/>
      <c r="AS3" s="94"/>
      <c r="AT3" s="94"/>
      <c r="AU3" s="94"/>
      <c r="AV3" s="94"/>
      <c r="AW3" s="94"/>
      <c r="AX3" s="94"/>
      <c r="AY3" s="94"/>
      <c r="AZ3" s="94"/>
      <c r="BA3" s="94"/>
      <c r="BB3" s="94"/>
      <c r="BC3" s="94"/>
      <c r="BD3" s="94"/>
      <c r="BE3" s="94"/>
      <c r="BF3" s="94"/>
      <c r="BG3" s="30"/>
    </row>
    <row r="4" spans="1:63" ht="16.5" customHeight="1">
      <c r="A4" s="29"/>
      <c r="B4" s="157"/>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158"/>
      <c r="AG4" s="158"/>
      <c r="AH4" s="158"/>
      <c r="AI4" s="158"/>
      <c r="AJ4" s="158"/>
      <c r="AK4" s="158"/>
      <c r="AL4" s="158"/>
      <c r="AM4" s="158"/>
      <c r="AN4" s="158"/>
      <c r="AO4" s="158"/>
      <c r="AP4" s="158"/>
      <c r="AQ4" s="158"/>
      <c r="AR4" s="158"/>
      <c r="AS4" s="158"/>
      <c r="AT4" s="158"/>
      <c r="AU4" s="158"/>
      <c r="AV4" s="158"/>
      <c r="AW4" s="158"/>
      <c r="AX4" s="158"/>
      <c r="AY4" s="158"/>
      <c r="AZ4" s="158"/>
      <c r="BA4" s="158"/>
      <c r="BB4" s="158"/>
      <c r="BC4" s="158"/>
      <c r="BD4" s="158"/>
      <c r="BE4" s="158"/>
      <c r="BF4" s="159"/>
      <c r="BG4" s="30"/>
      <c r="BK4" s="277"/>
    </row>
    <row r="5" spans="1:63" ht="16.5" customHeight="1">
      <c r="A5" s="29"/>
      <c r="B5" s="160"/>
      <c r="C5" s="161"/>
      <c r="D5" s="162"/>
      <c r="E5" s="162"/>
      <c r="F5" s="162"/>
      <c r="G5" s="162"/>
      <c r="H5" s="162"/>
      <c r="I5" s="162"/>
      <c r="J5" s="162"/>
      <c r="K5" s="163"/>
      <c r="L5" s="163"/>
      <c r="M5" s="163"/>
      <c r="N5" s="163"/>
      <c r="O5" s="163"/>
      <c r="P5" s="163"/>
      <c r="Q5" s="163"/>
      <c r="R5" s="163"/>
      <c r="S5" s="163"/>
      <c r="T5" s="163"/>
      <c r="U5" s="163"/>
      <c r="V5" s="163"/>
      <c r="W5" s="163"/>
      <c r="X5" s="164"/>
      <c r="Y5" s="163"/>
      <c r="Z5" s="163"/>
      <c r="AA5" s="163"/>
      <c r="AB5" s="163"/>
      <c r="AC5" s="163"/>
      <c r="AD5" s="163"/>
      <c r="AE5" s="163"/>
      <c r="AF5" s="163"/>
      <c r="AG5" s="163"/>
      <c r="AH5" s="163"/>
      <c r="AI5" s="163"/>
      <c r="AJ5" s="163"/>
      <c r="AK5" s="163"/>
      <c r="AL5" s="163"/>
      <c r="AM5" s="163"/>
      <c r="AN5" s="163"/>
      <c r="AO5" s="163"/>
      <c r="AP5" s="163"/>
      <c r="AQ5" s="163"/>
      <c r="AR5" s="163"/>
      <c r="AS5" s="163"/>
      <c r="AT5" s="163"/>
      <c r="AU5" s="163"/>
      <c r="AV5" s="163"/>
      <c r="AW5" s="163"/>
      <c r="AX5" s="163"/>
      <c r="AY5" s="163"/>
      <c r="AZ5" s="163"/>
      <c r="BA5" s="163"/>
      <c r="BB5" s="163"/>
      <c r="BC5" s="163"/>
      <c r="BD5" s="165"/>
      <c r="BE5" s="165"/>
      <c r="BF5" s="166"/>
      <c r="BG5" s="30"/>
    </row>
    <row r="6" spans="1:63" ht="16.5" customHeight="1">
      <c r="A6" s="29"/>
      <c r="B6" s="167"/>
      <c r="C6" s="164"/>
      <c r="D6" s="163"/>
      <c r="E6" s="163"/>
      <c r="F6" s="163"/>
      <c r="G6" s="163"/>
      <c r="H6" s="163"/>
      <c r="I6" s="163"/>
      <c r="J6" s="163"/>
      <c r="K6" s="163"/>
      <c r="L6" s="163"/>
      <c r="M6" s="163"/>
      <c r="N6" s="163"/>
      <c r="O6" s="163"/>
      <c r="P6" s="163"/>
      <c r="Q6" s="163"/>
      <c r="R6" s="163"/>
      <c r="S6" s="168"/>
      <c r="T6" s="163"/>
      <c r="U6" s="163"/>
      <c r="V6" s="163"/>
      <c r="W6" s="163"/>
      <c r="X6" s="163"/>
      <c r="Y6" s="163"/>
      <c r="Z6" s="163"/>
      <c r="AA6" s="163"/>
      <c r="AB6" s="163"/>
      <c r="AC6" s="163"/>
      <c r="AD6" s="163"/>
      <c r="AE6" s="163"/>
      <c r="AF6" s="163"/>
      <c r="AG6" s="163"/>
      <c r="AH6" s="163"/>
      <c r="AI6" s="163"/>
      <c r="AJ6" s="169"/>
      <c r="AK6" s="169"/>
      <c r="AL6" s="169"/>
      <c r="AM6" s="169"/>
      <c r="AN6" s="169"/>
      <c r="AO6" s="169"/>
      <c r="AP6" s="163"/>
      <c r="AQ6" s="163"/>
      <c r="AR6" s="163"/>
      <c r="AS6" s="163"/>
      <c r="AT6" s="165"/>
      <c r="AU6" s="165"/>
      <c r="AV6" s="165"/>
      <c r="AW6" s="165"/>
      <c r="AX6" s="165"/>
      <c r="AY6" s="165"/>
      <c r="AZ6" s="165"/>
      <c r="BA6" s="165"/>
      <c r="BB6" s="165"/>
      <c r="BC6" s="165"/>
      <c r="BD6" s="165"/>
      <c r="BE6" s="165"/>
      <c r="BF6" s="166"/>
      <c r="BG6" s="30"/>
    </row>
    <row r="7" spans="1:63" ht="16.5" customHeight="1">
      <c r="A7" s="29"/>
      <c r="B7" s="170"/>
      <c r="C7" s="162"/>
      <c r="D7" s="162"/>
      <c r="E7" s="162"/>
      <c r="F7" s="162"/>
      <c r="G7" s="163"/>
      <c r="H7" s="163"/>
      <c r="I7" s="163"/>
      <c r="J7" s="171"/>
      <c r="K7" s="163"/>
      <c r="L7" s="163"/>
      <c r="M7" s="163"/>
      <c r="N7" s="172"/>
      <c r="O7" s="163"/>
      <c r="P7" s="163"/>
      <c r="Q7" s="163"/>
      <c r="R7" s="163"/>
      <c r="S7" s="163"/>
      <c r="T7" s="163"/>
      <c r="U7" s="163"/>
      <c r="V7" s="163"/>
      <c r="W7" s="163"/>
      <c r="X7" s="163"/>
      <c r="Y7" s="163"/>
      <c r="Z7" s="163"/>
      <c r="AA7" s="163"/>
      <c r="AB7" s="163"/>
      <c r="AC7" s="163"/>
      <c r="AD7" s="163"/>
      <c r="AE7" s="163"/>
      <c r="AF7" s="163"/>
      <c r="AG7" s="163"/>
      <c r="AH7" s="173"/>
      <c r="AI7" s="172"/>
      <c r="AJ7" s="163"/>
      <c r="AK7" s="163"/>
      <c r="AL7" s="169"/>
      <c r="AM7" s="169"/>
      <c r="AN7" s="169"/>
      <c r="AO7" s="169"/>
      <c r="AP7" s="163"/>
      <c r="AQ7" s="163"/>
      <c r="AR7" s="163"/>
      <c r="AS7" s="163"/>
      <c r="AT7" s="165"/>
      <c r="AU7" s="165"/>
      <c r="AV7" s="165"/>
      <c r="AW7" s="165"/>
      <c r="AX7" s="165"/>
      <c r="AY7" s="165"/>
      <c r="AZ7" s="165"/>
      <c r="BA7" s="165"/>
      <c r="BB7" s="165"/>
      <c r="BC7" s="165"/>
      <c r="BD7" s="165"/>
      <c r="BE7" s="165"/>
      <c r="BF7" s="166"/>
      <c r="BG7" s="30"/>
    </row>
    <row r="8" spans="1:63" ht="16.5" customHeight="1" thickBot="1">
      <c r="A8" s="29"/>
      <c r="B8" s="170"/>
      <c r="C8" s="163"/>
      <c r="D8" s="162"/>
      <c r="E8" s="163"/>
      <c r="F8" s="163"/>
      <c r="G8" s="163"/>
      <c r="H8" s="163"/>
      <c r="I8" s="171"/>
      <c r="J8" s="171"/>
      <c r="K8" s="171"/>
      <c r="L8" s="163"/>
      <c r="M8" s="163"/>
      <c r="N8" s="163"/>
      <c r="O8" s="172"/>
      <c r="P8" s="172"/>
      <c r="Q8" s="172"/>
      <c r="R8" s="163"/>
      <c r="S8" s="163"/>
      <c r="T8" s="163"/>
      <c r="U8" s="163"/>
      <c r="AF8" s="163"/>
      <c r="AG8" s="171"/>
      <c r="AH8" s="172"/>
      <c r="AI8" s="174"/>
      <c r="AJ8" s="163"/>
      <c r="AK8" s="163"/>
      <c r="AL8" s="169"/>
      <c r="AM8" s="169"/>
      <c r="AN8" s="169"/>
      <c r="AO8" s="169"/>
      <c r="AP8" s="163"/>
      <c r="AQ8" s="163"/>
      <c r="AR8" s="163"/>
      <c r="AS8" s="163"/>
      <c r="AT8" s="165"/>
      <c r="AU8" s="165"/>
      <c r="AV8" s="165"/>
      <c r="AW8" s="165"/>
      <c r="AX8" s="165"/>
      <c r="AY8" s="165"/>
      <c r="AZ8" s="165"/>
      <c r="BA8" s="165"/>
      <c r="BB8" s="165"/>
      <c r="BC8" s="165"/>
      <c r="BD8" s="165"/>
      <c r="BE8" s="165"/>
      <c r="BF8" s="166"/>
      <c r="BG8" s="30"/>
    </row>
    <row r="9" spans="1:63" ht="16.5" customHeight="1">
      <c r="A9" s="29"/>
      <c r="B9" s="167"/>
      <c r="C9" s="163"/>
      <c r="D9" s="163"/>
      <c r="E9" s="163"/>
      <c r="F9" s="163"/>
      <c r="G9" s="163"/>
      <c r="H9" s="163"/>
      <c r="I9" s="171"/>
      <c r="J9" s="171"/>
      <c r="K9" s="171"/>
      <c r="L9" s="163"/>
      <c r="M9" s="163"/>
      <c r="N9" s="172"/>
      <c r="O9" s="163"/>
      <c r="P9" s="163"/>
      <c r="Q9" s="163"/>
      <c r="R9" s="163"/>
      <c r="S9" s="163"/>
      <c r="T9" s="163"/>
      <c r="U9" s="171"/>
      <c r="V9" s="163"/>
      <c r="W9" s="163"/>
      <c r="X9" s="163"/>
      <c r="Y9" s="163"/>
      <c r="Z9" s="163"/>
      <c r="AA9" s="163"/>
      <c r="AB9" s="163"/>
      <c r="AC9" s="163"/>
      <c r="AD9" s="163"/>
      <c r="AE9" s="163"/>
      <c r="AF9" s="163"/>
      <c r="AG9" s="172"/>
      <c r="AH9" s="172"/>
      <c r="AI9" s="163"/>
      <c r="AJ9" s="163"/>
      <c r="AK9" s="163"/>
      <c r="AM9" s="163"/>
      <c r="AN9" s="169"/>
      <c r="AO9" s="169"/>
      <c r="AP9" s="163"/>
      <c r="AT9" s="803">
        <f>'8D-Report'!D7</f>
        <v>0</v>
      </c>
      <c r="AU9" s="804"/>
      <c r="AV9" s="804"/>
      <c r="AW9" s="804"/>
      <c r="AX9" s="804"/>
      <c r="AY9" s="804"/>
      <c r="AZ9" s="804"/>
      <c r="BA9" s="804"/>
      <c r="BB9" s="804"/>
      <c r="BC9" s="805"/>
      <c r="BD9" s="165"/>
      <c r="BE9" s="165"/>
      <c r="BF9" s="166"/>
      <c r="BG9" s="30"/>
    </row>
    <row r="10" spans="1:63" ht="16.5" customHeight="1">
      <c r="A10" s="29"/>
      <c r="B10" s="167"/>
      <c r="C10" s="163"/>
      <c r="D10" s="163"/>
      <c r="E10" s="163"/>
      <c r="F10" s="163"/>
      <c r="G10" s="163"/>
      <c r="H10" s="163"/>
      <c r="I10" s="163"/>
      <c r="J10" s="163"/>
      <c r="K10" s="163"/>
      <c r="L10" s="163"/>
      <c r="M10" s="163"/>
      <c r="N10" s="163"/>
      <c r="O10" s="163"/>
      <c r="P10" s="163"/>
      <c r="Q10" s="163"/>
      <c r="R10" s="163"/>
      <c r="S10" s="163"/>
      <c r="T10" s="163"/>
      <c r="U10" s="163"/>
      <c r="V10" s="163"/>
      <c r="W10" s="163"/>
      <c r="X10" s="163"/>
      <c r="Y10" s="163"/>
      <c r="Z10" s="163"/>
      <c r="AA10" s="163"/>
      <c r="AB10" s="163"/>
      <c r="AC10" s="163"/>
      <c r="AD10" s="163"/>
      <c r="AE10" s="163"/>
      <c r="AF10" s="163"/>
      <c r="AG10" s="163"/>
      <c r="AH10" s="163"/>
      <c r="AI10" s="163"/>
      <c r="AJ10" s="173"/>
      <c r="AK10" s="172"/>
      <c r="AL10" s="163"/>
      <c r="AM10" s="163"/>
      <c r="AN10" s="163"/>
      <c r="AO10" s="163"/>
      <c r="AP10" s="163"/>
      <c r="AQ10" s="163"/>
      <c r="AR10" s="163"/>
      <c r="AS10" s="163"/>
      <c r="AT10" s="806"/>
      <c r="AU10" s="807"/>
      <c r="AV10" s="807"/>
      <c r="AW10" s="807"/>
      <c r="AX10" s="807"/>
      <c r="AY10" s="807"/>
      <c r="AZ10" s="807"/>
      <c r="BA10" s="807"/>
      <c r="BB10" s="807"/>
      <c r="BC10" s="808"/>
      <c r="BD10" s="165"/>
      <c r="BE10" s="165"/>
      <c r="BF10" s="166"/>
      <c r="BG10" s="30"/>
    </row>
    <row r="11" spans="1:63" ht="16.5" customHeight="1">
      <c r="A11" s="29"/>
      <c r="B11" s="167"/>
      <c r="C11" s="163"/>
      <c r="D11" s="163"/>
      <c r="E11" s="171"/>
      <c r="F11" s="163"/>
      <c r="G11" s="163"/>
      <c r="H11" s="163"/>
      <c r="I11" s="163"/>
      <c r="J11" s="163"/>
      <c r="K11" s="163"/>
      <c r="L11" s="163"/>
      <c r="M11" s="163"/>
      <c r="N11" s="163"/>
      <c r="O11" s="163"/>
      <c r="P11" s="163"/>
      <c r="Q11" s="163"/>
      <c r="R11" s="172"/>
      <c r="S11" s="172"/>
      <c r="T11" s="171"/>
      <c r="U11" s="163"/>
      <c r="V11" s="163"/>
      <c r="W11" s="163"/>
      <c r="X11" s="163"/>
      <c r="Y11" s="163"/>
      <c r="Z11" s="163"/>
      <c r="AA11" s="163"/>
      <c r="AB11" s="163"/>
      <c r="AC11" s="163"/>
      <c r="AD11" s="163"/>
      <c r="AE11" s="163"/>
      <c r="AF11" s="163"/>
      <c r="AG11" s="163"/>
      <c r="AH11" s="545"/>
      <c r="AI11" s="163"/>
      <c r="AJ11" s="172"/>
      <c r="AK11" s="172"/>
      <c r="AL11" s="172"/>
      <c r="AM11" s="174"/>
      <c r="AN11" s="163"/>
      <c r="AO11" s="163"/>
      <c r="AP11" s="163"/>
      <c r="AQ11" s="163"/>
      <c r="AR11" s="163"/>
      <c r="AS11" s="163"/>
      <c r="AT11" s="806"/>
      <c r="AU11" s="807"/>
      <c r="AV11" s="807"/>
      <c r="AW11" s="807"/>
      <c r="AX11" s="807"/>
      <c r="AY11" s="807"/>
      <c r="AZ11" s="807"/>
      <c r="BA11" s="807"/>
      <c r="BB11" s="807"/>
      <c r="BC11" s="808"/>
      <c r="BD11" s="165"/>
      <c r="BE11" s="165"/>
      <c r="BF11" s="166"/>
      <c r="BG11" s="30"/>
    </row>
    <row r="12" spans="1:63" ht="16.5" customHeight="1">
      <c r="A12" s="29"/>
      <c r="B12" s="167"/>
      <c r="C12" s="163"/>
      <c r="D12" s="171"/>
      <c r="E12" s="163"/>
      <c r="F12" s="163"/>
      <c r="G12" s="163"/>
      <c r="H12" s="163"/>
      <c r="I12" s="163"/>
      <c r="J12" s="176"/>
      <c r="K12" s="176"/>
      <c r="L12" s="176"/>
      <c r="M12" s="176"/>
      <c r="N12" s="163"/>
      <c r="O12" s="176"/>
      <c r="P12" s="163"/>
      <c r="Q12" s="163"/>
      <c r="R12" s="172"/>
      <c r="S12" s="172"/>
      <c r="T12" s="163"/>
      <c r="U12" s="163"/>
      <c r="V12" s="163"/>
      <c r="W12" s="163"/>
      <c r="X12" s="163"/>
      <c r="Y12" s="163"/>
      <c r="Z12" s="163"/>
      <c r="AA12" s="163"/>
      <c r="AB12" s="163"/>
      <c r="AC12" s="163"/>
      <c r="AD12" s="163"/>
      <c r="AE12" s="163"/>
      <c r="AF12" s="163"/>
      <c r="AG12" s="163"/>
      <c r="AH12" s="163"/>
      <c r="AI12" s="163"/>
      <c r="AJ12" s="172"/>
      <c r="AK12" s="172"/>
      <c r="AL12" s="177"/>
      <c r="AM12" s="178"/>
      <c r="AN12" s="163"/>
      <c r="AO12" s="163"/>
      <c r="AP12" s="163"/>
      <c r="AQ12" s="163"/>
      <c r="AR12" s="163"/>
      <c r="AS12" s="163"/>
      <c r="AT12" s="806"/>
      <c r="AU12" s="807"/>
      <c r="AV12" s="807"/>
      <c r="AW12" s="807"/>
      <c r="AX12" s="807"/>
      <c r="AY12" s="807"/>
      <c r="AZ12" s="807"/>
      <c r="BA12" s="807"/>
      <c r="BB12" s="807"/>
      <c r="BC12" s="808"/>
      <c r="BD12" s="165"/>
      <c r="BE12" s="165"/>
      <c r="BF12" s="166"/>
      <c r="BG12" s="30"/>
    </row>
    <row r="13" spans="1:63" ht="16.5" customHeight="1">
      <c r="A13" s="29"/>
      <c r="B13" s="167"/>
      <c r="C13" s="163"/>
      <c r="D13" s="163"/>
      <c r="E13" s="163"/>
      <c r="F13" s="163"/>
      <c r="G13" s="163"/>
      <c r="H13" s="163"/>
      <c r="I13" s="163"/>
      <c r="J13" s="163"/>
      <c r="K13" s="176"/>
      <c r="L13" s="176"/>
      <c r="M13" s="163"/>
      <c r="N13" s="163"/>
      <c r="O13" s="176"/>
      <c r="P13" s="163"/>
      <c r="Q13" s="163"/>
      <c r="R13" s="172"/>
      <c r="S13" s="172"/>
      <c r="T13" s="163"/>
      <c r="U13" s="163"/>
      <c r="V13" s="163"/>
      <c r="W13" s="163"/>
      <c r="X13" s="163"/>
      <c r="Y13" s="163"/>
      <c r="Z13" s="163"/>
      <c r="AA13" s="163"/>
      <c r="AB13" s="163"/>
      <c r="AC13" s="163"/>
      <c r="AD13" s="163"/>
      <c r="AE13" s="163"/>
      <c r="AF13" s="163"/>
      <c r="AG13" s="163"/>
      <c r="AH13" s="163"/>
      <c r="AI13" s="163"/>
      <c r="AJ13" s="172"/>
      <c r="AK13" s="172"/>
      <c r="AL13" s="172"/>
      <c r="AM13" s="172"/>
      <c r="AN13" s="163"/>
      <c r="AO13" s="163"/>
      <c r="AP13" s="163"/>
      <c r="AQ13" s="163"/>
      <c r="AR13" s="163"/>
      <c r="AS13" s="163"/>
      <c r="AT13" s="806"/>
      <c r="AU13" s="807"/>
      <c r="AV13" s="807"/>
      <c r="AW13" s="807"/>
      <c r="AX13" s="807"/>
      <c r="AY13" s="807"/>
      <c r="AZ13" s="807"/>
      <c r="BA13" s="807"/>
      <c r="BB13" s="807"/>
      <c r="BC13" s="808"/>
      <c r="BD13" s="165"/>
      <c r="BE13" s="165"/>
      <c r="BF13" s="166"/>
      <c r="BG13" s="30"/>
    </row>
    <row r="14" spans="1:63" ht="16.5" customHeight="1">
      <c r="A14" s="29"/>
      <c r="B14" s="167"/>
      <c r="C14" s="163"/>
      <c r="D14" s="163"/>
      <c r="E14" s="163"/>
      <c r="F14" s="163"/>
      <c r="G14" s="163"/>
      <c r="H14" s="163"/>
      <c r="I14" s="163"/>
      <c r="J14" s="163"/>
      <c r="K14" s="163"/>
      <c r="L14" s="163"/>
      <c r="M14" s="162"/>
      <c r="N14" s="162"/>
      <c r="O14" s="162"/>
      <c r="P14" s="163"/>
      <c r="Q14" s="163"/>
      <c r="R14" s="163"/>
      <c r="S14" s="175"/>
      <c r="T14" s="163"/>
      <c r="U14" s="163"/>
      <c r="V14" s="163"/>
      <c r="W14" s="163"/>
      <c r="X14" s="163"/>
      <c r="Y14" s="171"/>
      <c r="Z14" s="163"/>
      <c r="AA14" s="163"/>
      <c r="AB14" s="163"/>
      <c r="AC14" s="163"/>
      <c r="AD14" s="163"/>
      <c r="AE14" s="163"/>
      <c r="AF14" s="163"/>
      <c r="AG14" s="163"/>
      <c r="AH14" s="163"/>
      <c r="AI14" s="163"/>
      <c r="AJ14" s="163"/>
      <c r="AK14" s="163"/>
      <c r="AL14" s="163"/>
      <c r="AM14" s="163"/>
      <c r="AN14" s="163"/>
      <c r="AO14" s="163"/>
      <c r="AP14" s="163"/>
      <c r="AQ14" s="163"/>
      <c r="AR14" s="163"/>
      <c r="AS14" s="163"/>
      <c r="AT14" s="806"/>
      <c r="AU14" s="807"/>
      <c r="AV14" s="807"/>
      <c r="AW14" s="807"/>
      <c r="AX14" s="807"/>
      <c r="AY14" s="807"/>
      <c r="AZ14" s="807"/>
      <c r="BA14" s="807"/>
      <c r="BB14" s="807"/>
      <c r="BC14" s="808"/>
      <c r="BD14" s="165"/>
      <c r="BE14" s="165"/>
      <c r="BF14" s="166"/>
      <c r="BG14" s="30"/>
    </row>
    <row r="15" spans="1:63" ht="16.5" customHeight="1">
      <c r="A15" s="29"/>
      <c r="B15" s="167"/>
      <c r="C15" s="171"/>
      <c r="D15" s="171"/>
      <c r="E15" s="163"/>
      <c r="F15" s="163"/>
      <c r="G15" s="163"/>
      <c r="H15" s="163"/>
      <c r="I15" s="163"/>
      <c r="J15" s="179"/>
      <c r="K15" s="179"/>
      <c r="L15" s="179"/>
      <c r="M15" s="179"/>
      <c r="N15" s="179"/>
      <c r="O15" s="179"/>
      <c r="P15" s="179"/>
      <c r="Q15" s="179"/>
      <c r="R15" s="179"/>
      <c r="S15" s="179"/>
      <c r="T15" s="180"/>
      <c r="U15" s="179"/>
      <c r="V15" s="179"/>
      <c r="W15" s="179"/>
      <c r="X15" s="180"/>
      <c r="Y15" s="179"/>
      <c r="Z15" s="179"/>
      <c r="AA15" s="179"/>
      <c r="AB15" s="179"/>
      <c r="AC15" s="179"/>
      <c r="AD15" s="179"/>
      <c r="AE15" s="179"/>
      <c r="AF15" s="179"/>
      <c r="AG15" s="179"/>
      <c r="AH15" s="179"/>
      <c r="AI15" s="179"/>
      <c r="AJ15" s="179"/>
      <c r="AK15" s="179"/>
      <c r="AL15" s="179"/>
      <c r="AM15" s="179"/>
      <c r="AN15" s="179"/>
      <c r="AO15" s="179"/>
      <c r="AP15" s="179"/>
      <c r="AQ15" s="179"/>
      <c r="AR15" s="179"/>
      <c r="AS15" s="179"/>
      <c r="AT15" s="806"/>
      <c r="AU15" s="807"/>
      <c r="AV15" s="807"/>
      <c r="AW15" s="807"/>
      <c r="AX15" s="807"/>
      <c r="AY15" s="807"/>
      <c r="AZ15" s="807"/>
      <c r="BA15" s="807"/>
      <c r="BB15" s="807"/>
      <c r="BC15" s="808"/>
      <c r="BD15" s="165"/>
      <c r="BE15" s="165"/>
      <c r="BF15" s="166"/>
      <c r="BG15" s="30"/>
    </row>
    <row r="16" spans="1:63" ht="16.5" customHeight="1">
      <c r="A16" s="29"/>
      <c r="B16" s="167"/>
      <c r="C16" s="163"/>
      <c r="D16" s="163"/>
      <c r="E16" s="163"/>
      <c r="F16" s="163"/>
      <c r="G16" s="163"/>
      <c r="H16" s="163"/>
      <c r="I16" s="163"/>
      <c r="J16" s="163"/>
      <c r="K16" s="163"/>
      <c r="L16" s="163"/>
      <c r="M16" s="163"/>
      <c r="N16" s="163"/>
      <c r="O16" s="163"/>
      <c r="P16" s="163"/>
      <c r="Q16" s="163"/>
      <c r="R16" s="163"/>
      <c r="S16" s="163"/>
      <c r="T16" s="163"/>
      <c r="U16" s="163"/>
      <c r="V16" s="163"/>
      <c r="W16" s="163"/>
      <c r="X16" s="163"/>
      <c r="Y16" s="163"/>
      <c r="Z16" s="163"/>
      <c r="AA16" s="163"/>
      <c r="AB16" s="163"/>
      <c r="AC16" s="163"/>
      <c r="AD16" s="162"/>
      <c r="AE16" s="162"/>
      <c r="AF16" s="162"/>
      <c r="AG16" s="162"/>
      <c r="AH16" s="163"/>
      <c r="AI16" s="163"/>
      <c r="AJ16" s="163"/>
      <c r="AK16" s="163"/>
      <c r="AL16" s="163"/>
      <c r="AM16" s="163"/>
      <c r="AN16" s="163"/>
      <c r="AO16" s="163"/>
      <c r="AP16" s="175"/>
      <c r="AQ16" s="163"/>
      <c r="AR16" s="163"/>
      <c r="AS16" s="163"/>
      <c r="AT16" s="806"/>
      <c r="AU16" s="807"/>
      <c r="AV16" s="807"/>
      <c r="AW16" s="807"/>
      <c r="AX16" s="807"/>
      <c r="AY16" s="807"/>
      <c r="AZ16" s="807"/>
      <c r="BA16" s="807"/>
      <c r="BB16" s="807"/>
      <c r="BC16" s="808"/>
      <c r="BD16" s="165"/>
      <c r="BE16" s="165"/>
      <c r="BF16" s="166"/>
      <c r="BG16" s="30"/>
    </row>
    <row r="17" spans="1:59" ht="16.5" customHeight="1">
      <c r="A17" s="29"/>
      <c r="B17" s="167"/>
      <c r="C17" s="163"/>
      <c r="D17" s="163"/>
      <c r="E17" s="163"/>
      <c r="F17" s="163"/>
      <c r="G17" s="163"/>
      <c r="H17" s="163"/>
      <c r="I17" s="171"/>
      <c r="J17" s="163"/>
      <c r="K17" s="163"/>
      <c r="L17" s="163"/>
      <c r="M17" s="163"/>
      <c r="N17" s="163"/>
      <c r="O17" s="181"/>
      <c r="P17" s="163"/>
      <c r="Q17" s="163"/>
      <c r="R17" s="163"/>
      <c r="S17" s="163"/>
      <c r="T17" s="172"/>
      <c r="U17" s="177"/>
      <c r="V17" s="163"/>
      <c r="W17" s="171"/>
      <c r="X17" s="163"/>
      <c r="Y17" s="171"/>
      <c r="Z17" s="163"/>
      <c r="AA17" s="163"/>
      <c r="AB17" s="163"/>
      <c r="AC17" s="163"/>
      <c r="AD17" s="171"/>
      <c r="AE17" s="163"/>
      <c r="AF17" s="163"/>
      <c r="AG17" s="163"/>
      <c r="AH17" s="163"/>
      <c r="AI17" s="163"/>
      <c r="AJ17" s="163"/>
      <c r="AK17" s="163"/>
      <c r="AL17" s="163"/>
      <c r="AM17" s="163"/>
      <c r="AN17" s="163"/>
      <c r="AO17" s="163"/>
      <c r="AP17" s="163"/>
      <c r="AQ17" s="163"/>
      <c r="AR17" s="163"/>
      <c r="AS17" s="163"/>
      <c r="AT17" s="806"/>
      <c r="AU17" s="807"/>
      <c r="AV17" s="807"/>
      <c r="AW17" s="807"/>
      <c r="AX17" s="807"/>
      <c r="AY17" s="807"/>
      <c r="AZ17" s="807"/>
      <c r="BA17" s="807"/>
      <c r="BB17" s="807"/>
      <c r="BC17" s="808"/>
      <c r="BD17" s="165"/>
      <c r="BE17" s="165"/>
      <c r="BF17" s="166"/>
      <c r="BG17" s="30"/>
    </row>
    <row r="18" spans="1:59" ht="16.5" customHeight="1">
      <c r="A18" s="29"/>
      <c r="B18" s="167"/>
      <c r="C18" s="163"/>
      <c r="D18" s="163"/>
      <c r="E18" s="163"/>
      <c r="F18" s="163"/>
      <c r="G18" s="163"/>
      <c r="H18" s="171"/>
      <c r="I18" s="163"/>
      <c r="J18" s="163"/>
      <c r="K18" s="163"/>
      <c r="L18" s="163"/>
      <c r="M18" s="162"/>
      <c r="N18" s="162"/>
      <c r="O18" s="162"/>
      <c r="P18" s="162"/>
      <c r="Q18" s="162"/>
      <c r="R18" s="162"/>
      <c r="S18" s="162"/>
      <c r="T18" s="162"/>
      <c r="U18" s="171"/>
      <c r="V18" s="163"/>
      <c r="W18" s="163"/>
      <c r="X18" s="163"/>
      <c r="Y18" s="175"/>
      <c r="Z18" s="163"/>
      <c r="AA18" s="163"/>
      <c r="AB18" s="163"/>
      <c r="AC18" s="163"/>
      <c r="AD18" s="163"/>
      <c r="AE18" s="163"/>
      <c r="AF18" s="163"/>
      <c r="AG18" s="182"/>
      <c r="AH18" s="163"/>
      <c r="AI18" s="163"/>
      <c r="AJ18" s="171"/>
      <c r="AK18" s="163"/>
      <c r="AL18" s="163"/>
      <c r="AM18" s="163"/>
      <c r="AN18" s="163"/>
      <c r="AO18" s="171"/>
      <c r="AP18" s="171"/>
      <c r="AQ18" s="163"/>
      <c r="AR18" s="163"/>
      <c r="AS18" s="163"/>
      <c r="AT18" s="806"/>
      <c r="AU18" s="807"/>
      <c r="AV18" s="807"/>
      <c r="AW18" s="807"/>
      <c r="AX18" s="807"/>
      <c r="AY18" s="807"/>
      <c r="AZ18" s="807"/>
      <c r="BA18" s="807"/>
      <c r="BB18" s="807"/>
      <c r="BC18" s="808"/>
      <c r="BD18" s="165"/>
      <c r="BE18" s="165"/>
      <c r="BF18" s="166"/>
      <c r="BG18" s="30"/>
    </row>
    <row r="19" spans="1:59" ht="16.5" customHeight="1">
      <c r="A19" s="29"/>
      <c r="B19" s="167"/>
      <c r="C19" s="163"/>
      <c r="D19" s="163"/>
      <c r="E19" s="163"/>
      <c r="F19" s="163"/>
      <c r="G19" s="163"/>
      <c r="H19" s="163"/>
      <c r="I19" s="163"/>
      <c r="J19" s="163"/>
      <c r="K19" s="163"/>
      <c r="L19" s="163"/>
      <c r="M19" s="163"/>
      <c r="N19" s="163"/>
      <c r="O19" s="171"/>
      <c r="P19" s="177"/>
      <c r="Q19" s="163"/>
      <c r="R19" s="163"/>
      <c r="S19" s="168"/>
      <c r="T19" s="163"/>
      <c r="U19" s="163"/>
      <c r="V19" s="163"/>
      <c r="W19" s="163"/>
      <c r="X19" s="183"/>
      <c r="Y19" s="163"/>
      <c r="Z19" s="182"/>
      <c r="AA19" s="163"/>
      <c r="AB19" s="163"/>
      <c r="AC19" s="163"/>
      <c r="AD19" s="163"/>
      <c r="AE19" s="163"/>
      <c r="AF19" s="163"/>
      <c r="AG19" s="163"/>
      <c r="AH19" s="163"/>
      <c r="AI19" s="163"/>
      <c r="AJ19" s="163"/>
      <c r="AK19" s="163"/>
      <c r="AL19" s="163"/>
      <c r="AM19" s="163"/>
      <c r="AN19" s="163"/>
      <c r="AO19" s="163"/>
      <c r="AP19" s="163"/>
      <c r="AQ19" s="163"/>
      <c r="AR19" s="163"/>
      <c r="AS19" s="163"/>
      <c r="AT19" s="806"/>
      <c r="AU19" s="807"/>
      <c r="AV19" s="807"/>
      <c r="AW19" s="807"/>
      <c r="AX19" s="807"/>
      <c r="AY19" s="807"/>
      <c r="AZ19" s="807"/>
      <c r="BA19" s="807"/>
      <c r="BB19" s="807"/>
      <c r="BC19" s="808"/>
      <c r="BD19" s="165"/>
      <c r="BE19" s="165"/>
      <c r="BF19" s="166"/>
      <c r="BG19" s="30"/>
    </row>
    <row r="20" spans="1:59" ht="16.5" customHeight="1">
      <c r="A20" s="29"/>
      <c r="B20" s="167"/>
      <c r="C20" s="163"/>
      <c r="D20" s="163"/>
      <c r="E20" s="163"/>
      <c r="F20" s="163"/>
      <c r="G20" s="163"/>
      <c r="H20" s="163"/>
      <c r="I20" s="163"/>
      <c r="J20" s="163"/>
      <c r="K20" s="163"/>
      <c r="L20" s="163"/>
      <c r="M20" s="163"/>
      <c r="N20" s="163"/>
      <c r="O20" s="163"/>
      <c r="P20" s="163"/>
      <c r="Q20" s="163"/>
      <c r="R20" s="163"/>
      <c r="S20" s="163"/>
      <c r="T20" s="163"/>
      <c r="U20" s="163"/>
      <c r="V20" s="163"/>
      <c r="W20" s="163"/>
      <c r="X20" s="163"/>
      <c r="Y20" s="163"/>
      <c r="Z20" s="163"/>
      <c r="AA20" s="163"/>
      <c r="AB20" s="163"/>
      <c r="AC20" s="163"/>
      <c r="AD20" s="163"/>
      <c r="AE20" s="163"/>
      <c r="AF20" s="163"/>
      <c r="AG20" s="163"/>
      <c r="AH20" s="163"/>
      <c r="AI20" s="163"/>
      <c r="AJ20" s="163"/>
      <c r="AK20" s="163"/>
      <c r="AL20" s="163"/>
      <c r="AM20" s="163"/>
      <c r="AN20" s="163"/>
      <c r="AO20" s="163"/>
      <c r="AP20" s="163"/>
      <c r="AQ20" s="171"/>
      <c r="AR20" s="163"/>
      <c r="AS20" s="163"/>
      <c r="AT20" s="806"/>
      <c r="AU20" s="807"/>
      <c r="AV20" s="807"/>
      <c r="AW20" s="807"/>
      <c r="AX20" s="807"/>
      <c r="AY20" s="807"/>
      <c r="AZ20" s="807"/>
      <c r="BA20" s="807"/>
      <c r="BB20" s="807"/>
      <c r="BC20" s="808"/>
      <c r="BD20" s="165"/>
      <c r="BE20" s="165"/>
      <c r="BF20" s="166"/>
      <c r="BG20" s="30"/>
    </row>
    <row r="21" spans="1:59" ht="16.5" customHeight="1">
      <c r="A21" s="29"/>
      <c r="B21" s="167"/>
      <c r="C21" s="163"/>
      <c r="D21" s="163"/>
      <c r="E21" s="163"/>
      <c r="F21" s="163"/>
      <c r="G21" s="163"/>
      <c r="H21" s="163"/>
      <c r="I21" s="163"/>
      <c r="J21" s="163"/>
      <c r="K21" s="163"/>
      <c r="L21" s="163"/>
      <c r="M21" s="163"/>
      <c r="N21" s="163"/>
      <c r="O21" s="173"/>
      <c r="P21" s="163"/>
      <c r="Q21" s="163"/>
      <c r="R21" s="163"/>
      <c r="S21" s="163"/>
      <c r="T21" s="163"/>
      <c r="U21" s="163"/>
      <c r="V21" s="163"/>
      <c r="W21" s="163"/>
      <c r="X21" s="163"/>
      <c r="Y21" s="163"/>
      <c r="Z21" s="163"/>
      <c r="AA21" s="163"/>
      <c r="AB21" s="163"/>
      <c r="AC21" s="163"/>
      <c r="AD21" s="163"/>
      <c r="AE21" s="163"/>
      <c r="AF21" s="163"/>
      <c r="AG21" s="163"/>
      <c r="AH21" s="163"/>
      <c r="AI21" s="163"/>
      <c r="AJ21" s="163"/>
      <c r="AK21" s="163"/>
      <c r="AL21" s="163"/>
      <c r="AM21" s="163"/>
      <c r="AN21" s="163"/>
      <c r="AO21" s="163"/>
      <c r="AP21" s="163"/>
      <c r="AQ21" s="163"/>
      <c r="AR21" s="163"/>
      <c r="AS21" s="163"/>
      <c r="AT21" s="806"/>
      <c r="AU21" s="807"/>
      <c r="AV21" s="807"/>
      <c r="AW21" s="807"/>
      <c r="AX21" s="807"/>
      <c r="AY21" s="807"/>
      <c r="AZ21" s="807"/>
      <c r="BA21" s="807"/>
      <c r="BB21" s="807"/>
      <c r="BC21" s="808"/>
      <c r="BD21" s="165"/>
      <c r="BE21" s="165"/>
      <c r="BF21" s="166"/>
      <c r="BG21" s="30"/>
    </row>
    <row r="22" spans="1:59" ht="16.5" customHeight="1" thickBot="1">
      <c r="A22" s="29"/>
      <c r="B22" s="167"/>
      <c r="C22" s="163"/>
      <c r="D22" s="164"/>
      <c r="E22" s="163"/>
      <c r="F22" s="163"/>
      <c r="G22" s="163"/>
      <c r="H22" s="163"/>
      <c r="I22" s="163"/>
      <c r="J22" s="163"/>
      <c r="K22" s="163"/>
      <c r="L22" s="163"/>
      <c r="M22" s="163"/>
      <c r="N22" s="163"/>
      <c r="O22" s="163"/>
      <c r="P22" s="163"/>
      <c r="Q22" s="163"/>
      <c r="R22" s="175"/>
      <c r="S22" s="163"/>
      <c r="T22" s="163"/>
      <c r="U22" s="163"/>
      <c r="V22" s="163"/>
      <c r="W22" s="163"/>
      <c r="X22" s="163"/>
      <c r="Y22" s="163"/>
      <c r="Z22" s="163"/>
      <c r="AA22" s="163"/>
      <c r="AB22" s="163"/>
      <c r="AC22" s="163"/>
      <c r="AD22" s="163"/>
      <c r="AE22" s="163"/>
      <c r="AF22" s="163"/>
      <c r="AG22" s="163"/>
      <c r="AH22" s="163"/>
      <c r="AI22" s="163"/>
      <c r="AJ22" s="163"/>
      <c r="AK22" s="163"/>
      <c r="AL22" s="163"/>
      <c r="AM22" s="163"/>
      <c r="AN22" s="163"/>
      <c r="AO22" s="163"/>
      <c r="AP22" s="163"/>
      <c r="AQ22" s="163"/>
      <c r="AR22" s="163"/>
      <c r="AS22" s="163"/>
      <c r="AT22" s="809"/>
      <c r="AU22" s="810"/>
      <c r="AV22" s="810"/>
      <c r="AW22" s="810"/>
      <c r="AX22" s="810"/>
      <c r="AY22" s="810"/>
      <c r="AZ22" s="810"/>
      <c r="BA22" s="810"/>
      <c r="BB22" s="810"/>
      <c r="BC22" s="811"/>
      <c r="BD22" s="165"/>
      <c r="BE22" s="165"/>
      <c r="BF22" s="166"/>
      <c r="BG22" s="30"/>
    </row>
    <row r="23" spans="1:59" ht="16.5" customHeight="1">
      <c r="A23" s="29"/>
      <c r="B23" s="167"/>
      <c r="C23" s="163"/>
      <c r="D23" s="163"/>
      <c r="E23" s="163"/>
      <c r="F23" s="163"/>
      <c r="G23" s="163"/>
      <c r="H23" s="163"/>
      <c r="I23" s="163"/>
      <c r="J23" s="163"/>
      <c r="K23" s="163"/>
      <c r="L23" s="163"/>
      <c r="M23" s="163"/>
      <c r="N23" s="163"/>
      <c r="O23" s="163"/>
      <c r="P23" s="163"/>
      <c r="Q23" s="163"/>
      <c r="R23" s="163"/>
      <c r="S23" s="163"/>
      <c r="T23" s="163"/>
      <c r="U23" s="163"/>
      <c r="V23" s="171"/>
      <c r="W23" s="163"/>
      <c r="X23" s="163"/>
      <c r="Y23" s="163"/>
      <c r="Z23" s="163"/>
      <c r="AA23" s="163"/>
      <c r="AB23" s="163"/>
      <c r="AC23" s="163"/>
      <c r="AD23" s="163"/>
      <c r="AE23" s="163"/>
      <c r="AF23" s="163"/>
      <c r="AG23" s="163"/>
      <c r="AH23" s="163"/>
      <c r="AI23" s="163"/>
      <c r="AJ23" s="163"/>
      <c r="AK23" s="163"/>
      <c r="AL23" s="163"/>
      <c r="AM23" s="163"/>
      <c r="AN23" s="163"/>
      <c r="AO23" s="175"/>
      <c r="AP23" s="163"/>
      <c r="AQ23" s="163"/>
      <c r="AR23" s="163"/>
      <c r="AS23" s="163"/>
      <c r="AT23" s="163"/>
      <c r="AU23" s="163"/>
      <c r="AV23" s="163"/>
      <c r="AW23" s="163"/>
      <c r="AX23" s="163"/>
      <c r="AY23" s="163"/>
      <c r="AZ23" s="163"/>
      <c r="BA23" s="163"/>
      <c r="BB23" s="163"/>
      <c r="BC23" s="163"/>
      <c r="BD23" s="165"/>
      <c r="BE23" s="165"/>
      <c r="BF23" s="166"/>
      <c r="BG23" s="30"/>
    </row>
    <row r="24" spans="1:59" ht="16.5" customHeight="1">
      <c r="A24" s="29"/>
      <c r="B24" s="167"/>
      <c r="C24" s="163"/>
      <c r="D24" s="163"/>
      <c r="E24" s="163"/>
      <c r="F24" s="163"/>
      <c r="G24" s="163"/>
      <c r="H24" s="163"/>
      <c r="I24" s="163"/>
      <c r="J24" s="163"/>
      <c r="K24" s="163"/>
      <c r="L24" s="163"/>
      <c r="M24" s="163"/>
      <c r="N24" s="163"/>
      <c r="O24" s="163"/>
      <c r="P24" s="163"/>
      <c r="Q24" s="163"/>
      <c r="R24" s="163"/>
      <c r="S24" s="163"/>
      <c r="T24" s="163"/>
      <c r="U24" s="184"/>
      <c r="V24" s="171"/>
      <c r="W24" s="163"/>
      <c r="X24" s="163"/>
      <c r="Y24" s="163"/>
      <c r="Z24" s="163"/>
      <c r="AA24" s="163"/>
      <c r="AB24" s="163"/>
      <c r="AC24" s="163"/>
      <c r="AD24" s="163"/>
      <c r="AE24" s="163"/>
      <c r="AF24" s="163"/>
      <c r="AG24" s="163"/>
      <c r="AH24" s="163"/>
      <c r="AI24" s="163"/>
      <c r="AJ24" s="163"/>
      <c r="AK24" s="163"/>
      <c r="AL24" s="163"/>
      <c r="AM24" s="163"/>
      <c r="AN24" s="163"/>
      <c r="AO24" s="163"/>
      <c r="AP24" s="163"/>
      <c r="AQ24" s="163"/>
      <c r="AR24" s="163"/>
      <c r="AS24" s="163"/>
      <c r="AT24" s="163"/>
      <c r="AU24" s="163"/>
      <c r="AV24" s="163"/>
      <c r="AW24" s="163"/>
      <c r="AX24" s="163"/>
      <c r="AY24" s="163"/>
      <c r="AZ24" s="163"/>
      <c r="BA24" s="163"/>
      <c r="BB24" s="163"/>
      <c r="BC24" s="163"/>
      <c r="BD24" s="165"/>
      <c r="BE24" s="165"/>
      <c r="BF24" s="166"/>
      <c r="BG24" s="30"/>
    </row>
    <row r="25" spans="1:59" ht="16.5" customHeight="1">
      <c r="A25" s="29"/>
      <c r="B25" s="167"/>
      <c r="C25" s="163"/>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163"/>
      <c r="AB25" s="163"/>
      <c r="AC25" s="163"/>
      <c r="AD25" s="163"/>
      <c r="AE25" s="163"/>
      <c r="AF25" s="163"/>
      <c r="AG25" s="163"/>
      <c r="AH25" s="163"/>
      <c r="AI25" s="163"/>
      <c r="AJ25" s="163"/>
      <c r="AK25" s="163"/>
      <c r="AL25" s="163"/>
      <c r="AM25" s="163"/>
      <c r="AN25" s="163"/>
      <c r="AO25" s="163"/>
      <c r="AP25" s="163"/>
      <c r="AQ25" s="163"/>
      <c r="AR25" s="163"/>
      <c r="AS25" s="163"/>
      <c r="AT25" s="163"/>
      <c r="AU25" s="163"/>
      <c r="AV25" s="163"/>
      <c r="AW25" s="163"/>
      <c r="AX25" s="163"/>
      <c r="AY25" s="163"/>
      <c r="AZ25" s="163"/>
      <c r="BA25" s="163"/>
      <c r="BB25" s="163"/>
      <c r="BC25" s="163"/>
      <c r="BD25" s="165"/>
      <c r="BE25" s="165"/>
      <c r="BF25" s="166"/>
      <c r="BG25" s="30"/>
    </row>
    <row r="26" spans="1:59" ht="16.5" customHeight="1">
      <c r="A26" s="29"/>
      <c r="B26" s="167"/>
      <c r="C26" s="163"/>
      <c r="D26" s="163"/>
      <c r="E26" s="163"/>
      <c r="F26" s="163"/>
      <c r="G26" s="163"/>
      <c r="H26" s="163"/>
      <c r="I26" s="163"/>
      <c r="J26" s="163"/>
      <c r="K26" s="163"/>
      <c r="L26" s="163"/>
      <c r="M26" s="163"/>
      <c r="N26" s="163"/>
      <c r="O26" s="163"/>
      <c r="P26" s="163"/>
      <c r="Q26" s="163"/>
      <c r="R26" s="163"/>
      <c r="S26" s="163"/>
      <c r="T26" s="163"/>
      <c r="U26" s="163"/>
      <c r="V26" s="163"/>
      <c r="W26" s="163"/>
      <c r="X26" s="163"/>
      <c r="Y26" s="163"/>
      <c r="Z26" s="163"/>
      <c r="AA26" s="163"/>
      <c r="AB26" s="163"/>
      <c r="AC26" s="163"/>
      <c r="AD26" s="163"/>
      <c r="AE26" s="163"/>
      <c r="AF26" s="163"/>
      <c r="AG26" s="163"/>
      <c r="AH26" s="163"/>
      <c r="AI26" s="163"/>
      <c r="AJ26" s="163"/>
      <c r="AK26" s="163"/>
      <c r="AL26" s="163"/>
      <c r="AM26" s="163"/>
      <c r="AN26" s="163"/>
      <c r="AO26" s="163"/>
      <c r="AP26" s="163"/>
      <c r="AQ26" s="163"/>
      <c r="AR26" s="163"/>
      <c r="AS26" s="163"/>
      <c r="AT26" s="163"/>
      <c r="AU26" s="163"/>
      <c r="AV26" s="163"/>
      <c r="AW26" s="163"/>
      <c r="AX26" s="163"/>
      <c r="AY26" s="163"/>
      <c r="AZ26" s="163"/>
      <c r="BA26" s="163"/>
      <c r="BB26" s="163"/>
      <c r="BC26" s="163"/>
      <c r="BD26" s="165"/>
      <c r="BE26" s="165"/>
      <c r="BF26" s="166"/>
      <c r="BG26" s="30"/>
    </row>
    <row r="27" spans="1:59" ht="16.5" customHeight="1">
      <c r="A27" s="29"/>
      <c r="B27" s="185"/>
      <c r="C27" s="165"/>
      <c r="D27" s="165"/>
      <c r="E27" s="165"/>
      <c r="F27" s="165"/>
      <c r="G27" s="165"/>
      <c r="H27" s="165"/>
      <c r="I27" s="165"/>
      <c r="J27" s="165"/>
      <c r="K27" s="165"/>
      <c r="L27" s="165"/>
      <c r="M27" s="165"/>
      <c r="N27" s="165"/>
      <c r="O27" s="165"/>
      <c r="P27" s="165"/>
      <c r="Q27" s="165"/>
      <c r="R27" s="165"/>
      <c r="S27" s="165"/>
      <c r="T27" s="165"/>
      <c r="U27" s="165"/>
      <c r="V27" s="165"/>
      <c r="W27" s="165"/>
      <c r="X27" s="165"/>
      <c r="Y27" s="165"/>
      <c r="Z27" s="165"/>
      <c r="AA27" s="165"/>
      <c r="AB27" s="165"/>
      <c r="AC27" s="165"/>
      <c r="AD27" s="165"/>
      <c r="AE27" s="165"/>
      <c r="AF27" s="165"/>
      <c r="AG27" s="165"/>
      <c r="AH27" s="165"/>
      <c r="AI27" s="165"/>
      <c r="AJ27" s="165"/>
      <c r="AK27" s="165"/>
      <c r="AL27" s="165"/>
      <c r="AM27" s="165"/>
      <c r="AN27" s="165"/>
      <c r="AO27" s="165"/>
      <c r="AP27" s="165"/>
      <c r="AQ27" s="165"/>
      <c r="AR27" s="165"/>
      <c r="AS27" s="165"/>
      <c r="AT27" s="165"/>
      <c r="AU27" s="165"/>
      <c r="AV27" s="165"/>
      <c r="AW27" s="165"/>
      <c r="AX27" s="165"/>
      <c r="AY27" s="165"/>
      <c r="AZ27" s="165"/>
      <c r="BA27" s="165"/>
      <c r="BB27" s="165"/>
      <c r="BC27" s="165"/>
      <c r="BD27" s="165"/>
      <c r="BE27" s="165"/>
      <c r="BF27" s="166"/>
      <c r="BG27" s="30"/>
    </row>
    <row r="28" spans="1:59" ht="16.5" customHeight="1" thickBot="1">
      <c r="A28" s="29"/>
      <c r="B28" s="186"/>
      <c r="C28" s="187"/>
      <c r="D28" s="187"/>
      <c r="E28" s="187"/>
      <c r="F28" s="187"/>
      <c r="G28" s="187"/>
      <c r="H28" s="187"/>
      <c r="I28" s="187"/>
      <c r="J28" s="187"/>
      <c r="K28" s="187"/>
      <c r="L28" s="187"/>
      <c r="M28" s="187"/>
      <c r="N28" s="187"/>
      <c r="O28" s="187"/>
      <c r="P28" s="187"/>
      <c r="Q28" s="187"/>
      <c r="R28" s="187"/>
      <c r="S28" s="187"/>
      <c r="T28" s="187"/>
      <c r="U28" s="187"/>
      <c r="V28" s="187"/>
      <c r="W28" s="187"/>
      <c r="X28" s="187"/>
      <c r="Y28" s="187"/>
      <c r="Z28" s="187"/>
      <c r="AA28" s="187"/>
      <c r="AB28" s="187"/>
      <c r="AC28" s="187"/>
      <c r="AD28" s="187"/>
      <c r="AE28" s="187"/>
      <c r="AF28" s="187"/>
      <c r="AG28" s="187"/>
      <c r="AH28" s="187"/>
      <c r="AI28" s="187"/>
      <c r="AJ28" s="187"/>
      <c r="AK28" s="187"/>
      <c r="AL28" s="187"/>
      <c r="AM28" s="187"/>
      <c r="AN28" s="187"/>
      <c r="AO28" s="187"/>
      <c r="AP28" s="187"/>
      <c r="AQ28" s="187"/>
      <c r="AR28" s="187"/>
      <c r="AS28" s="187"/>
      <c r="AT28" s="187"/>
      <c r="AU28" s="187"/>
      <c r="AV28" s="187"/>
      <c r="AW28" s="187"/>
      <c r="AX28" s="187"/>
      <c r="AY28" s="187"/>
      <c r="AZ28" s="187"/>
      <c r="BA28" s="187"/>
      <c r="BB28" s="187"/>
      <c r="BC28" s="187"/>
      <c r="BD28" s="187"/>
      <c r="BE28" s="187"/>
      <c r="BF28" s="188"/>
      <c r="BG28" s="30"/>
    </row>
    <row r="29" spans="1:59" ht="6.75" customHeight="1">
      <c r="A29" s="29"/>
      <c r="B29" s="94"/>
      <c r="C29" s="94"/>
      <c r="D29" s="94"/>
      <c r="E29" s="94"/>
      <c r="F29" s="94"/>
      <c r="G29" s="94"/>
      <c r="H29" s="94"/>
      <c r="I29" s="94"/>
      <c r="J29" s="94"/>
      <c r="K29" s="94"/>
      <c r="L29" s="94"/>
      <c r="M29" s="94"/>
      <c r="N29" s="94"/>
      <c r="O29" s="94"/>
      <c r="P29" s="94"/>
      <c r="Q29" s="94"/>
      <c r="R29" s="94"/>
      <c r="S29" s="94"/>
      <c r="T29" s="94"/>
      <c r="U29" s="94"/>
      <c r="V29" s="94"/>
      <c r="W29" s="94"/>
      <c r="X29" s="94"/>
      <c r="Y29" s="94"/>
      <c r="Z29" s="94"/>
      <c r="AA29" s="94"/>
      <c r="AB29" s="94"/>
      <c r="AC29" s="94"/>
      <c r="AD29" s="94"/>
      <c r="AE29" s="94"/>
      <c r="AF29" s="94"/>
      <c r="AG29" s="94"/>
      <c r="AH29" s="94"/>
      <c r="AI29" s="94"/>
      <c r="AJ29" s="94"/>
      <c r="AK29" s="94"/>
      <c r="AL29" s="94"/>
      <c r="AM29" s="94"/>
      <c r="AN29" s="94"/>
      <c r="AO29" s="94"/>
      <c r="AP29" s="94"/>
      <c r="AQ29" s="94"/>
      <c r="AR29" s="94"/>
      <c r="AS29" s="94"/>
      <c r="AT29" s="94"/>
      <c r="AU29" s="94"/>
      <c r="AV29" s="94"/>
      <c r="AW29" s="94"/>
      <c r="AX29" s="94"/>
      <c r="AY29" s="94"/>
      <c r="AZ29" s="94"/>
      <c r="BA29" s="94"/>
      <c r="BB29" s="94"/>
      <c r="BC29" s="94"/>
      <c r="BD29" s="94"/>
      <c r="BE29" s="94"/>
      <c r="BF29" s="94"/>
      <c r="BG29" s="30"/>
    </row>
    <row r="30" spans="1:59" ht="6.75" customHeight="1">
      <c r="A30" s="29"/>
      <c r="B30" s="94"/>
      <c r="C30" s="94"/>
      <c r="D30" s="94"/>
      <c r="E30" s="94"/>
      <c r="F30" s="94"/>
      <c r="G30" s="94"/>
      <c r="H30" s="94"/>
      <c r="I30" s="94"/>
      <c r="J30" s="94"/>
      <c r="K30" s="94"/>
      <c r="L30" s="94"/>
      <c r="M30" s="94"/>
      <c r="N30" s="94"/>
      <c r="O30" s="94"/>
      <c r="P30" s="94"/>
      <c r="Q30" s="94"/>
      <c r="R30" s="94"/>
      <c r="S30" s="94"/>
      <c r="T30" s="94"/>
      <c r="U30" s="94"/>
      <c r="V30" s="94"/>
      <c r="W30" s="94"/>
      <c r="X30" s="94"/>
      <c r="Y30" s="94"/>
      <c r="Z30" s="94"/>
      <c r="AA30" s="94"/>
      <c r="AB30" s="94"/>
      <c r="AC30" s="94"/>
      <c r="AD30" s="94"/>
      <c r="AE30" s="94"/>
      <c r="AF30" s="94"/>
      <c r="AG30" s="94"/>
      <c r="AH30" s="94"/>
      <c r="AI30" s="94"/>
      <c r="AJ30" s="94"/>
      <c r="AK30" s="94"/>
      <c r="AL30" s="94"/>
      <c r="AM30" s="94"/>
      <c r="AN30" s="94"/>
      <c r="AO30" s="94"/>
      <c r="AP30" s="94"/>
      <c r="AQ30" s="94"/>
      <c r="AR30" s="94"/>
      <c r="AS30" s="94"/>
      <c r="AT30" s="94"/>
      <c r="AU30" s="94"/>
      <c r="AV30" s="94"/>
      <c r="AW30" s="94"/>
      <c r="AX30" s="94"/>
      <c r="AY30" s="94"/>
      <c r="AZ30" s="94"/>
      <c r="BA30" s="94"/>
      <c r="BB30" s="94"/>
      <c r="BC30" s="94"/>
      <c r="BD30" s="94"/>
      <c r="BE30" s="94"/>
      <c r="BF30" s="94"/>
      <c r="BG30" s="30"/>
    </row>
    <row r="31" spans="1:59" ht="6.75" customHeight="1" thickBot="1">
      <c r="A31" s="31"/>
      <c r="B31" s="33"/>
      <c r="C31" s="33"/>
      <c r="D31" s="33"/>
      <c r="E31" s="33"/>
      <c r="F31" s="33"/>
      <c r="G31" s="33"/>
      <c r="H31" s="33"/>
      <c r="I31" s="33"/>
      <c r="J31" s="33"/>
      <c r="K31" s="33"/>
      <c r="L31" s="33"/>
      <c r="M31" s="33"/>
      <c r="N31" s="33"/>
      <c r="O31" s="33"/>
      <c r="P31" s="33"/>
      <c r="Q31" s="33"/>
      <c r="R31" s="33"/>
      <c r="S31" s="33"/>
      <c r="T31" s="33"/>
      <c r="U31" s="33"/>
      <c r="V31" s="33"/>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2"/>
    </row>
    <row r="32" spans="1:59" hidden="1">
      <c r="A32">
        <f>SUM(B32:BF32)</f>
        <v>0</v>
      </c>
      <c r="B32">
        <f t="shared" ref="B32:B56" si="0">IF(B4&gt;0,1,0)</f>
        <v>0</v>
      </c>
      <c r="C32">
        <f t="shared" ref="C32:BG36" si="1">IF(C4&gt;0,1,0)</f>
        <v>0</v>
      </c>
      <c r="D32">
        <f t="shared" si="1"/>
        <v>0</v>
      </c>
      <c r="E32">
        <f t="shared" si="1"/>
        <v>0</v>
      </c>
      <c r="F32">
        <f t="shared" si="1"/>
        <v>0</v>
      </c>
      <c r="G32">
        <f t="shared" si="1"/>
        <v>0</v>
      </c>
      <c r="H32">
        <f t="shared" si="1"/>
        <v>0</v>
      </c>
      <c r="I32">
        <f t="shared" si="1"/>
        <v>0</v>
      </c>
      <c r="J32">
        <f t="shared" si="1"/>
        <v>0</v>
      </c>
      <c r="K32">
        <f t="shared" si="1"/>
        <v>0</v>
      </c>
      <c r="L32">
        <f t="shared" si="1"/>
        <v>0</v>
      </c>
      <c r="M32">
        <f t="shared" si="1"/>
        <v>0</v>
      </c>
      <c r="N32">
        <f t="shared" si="1"/>
        <v>0</v>
      </c>
      <c r="O32">
        <f t="shared" si="1"/>
        <v>0</v>
      </c>
      <c r="P32">
        <f t="shared" si="1"/>
        <v>0</v>
      </c>
      <c r="Q32">
        <f t="shared" si="1"/>
        <v>0</v>
      </c>
      <c r="R32">
        <f t="shared" si="1"/>
        <v>0</v>
      </c>
      <c r="S32">
        <f t="shared" si="1"/>
        <v>0</v>
      </c>
      <c r="T32">
        <f t="shared" si="1"/>
        <v>0</v>
      </c>
      <c r="U32">
        <f t="shared" si="1"/>
        <v>0</v>
      </c>
      <c r="V32">
        <f t="shared" si="1"/>
        <v>0</v>
      </c>
      <c r="W32">
        <f t="shared" si="1"/>
        <v>0</v>
      </c>
      <c r="X32">
        <f t="shared" si="1"/>
        <v>0</v>
      </c>
      <c r="Y32">
        <f t="shared" si="1"/>
        <v>0</v>
      </c>
      <c r="Z32">
        <f t="shared" si="1"/>
        <v>0</v>
      </c>
      <c r="AA32">
        <f t="shared" si="1"/>
        <v>0</v>
      </c>
      <c r="AB32">
        <f t="shared" si="1"/>
        <v>0</v>
      </c>
      <c r="AC32">
        <f t="shared" si="1"/>
        <v>0</v>
      </c>
      <c r="AD32">
        <f t="shared" si="1"/>
        <v>0</v>
      </c>
      <c r="AE32">
        <f t="shared" si="1"/>
        <v>0</v>
      </c>
      <c r="AF32">
        <f t="shared" si="1"/>
        <v>0</v>
      </c>
      <c r="AG32">
        <f t="shared" si="1"/>
        <v>0</v>
      </c>
      <c r="AH32">
        <f t="shared" si="1"/>
        <v>0</v>
      </c>
      <c r="AI32">
        <f t="shared" si="1"/>
        <v>0</v>
      </c>
      <c r="AJ32">
        <f t="shared" si="1"/>
        <v>0</v>
      </c>
      <c r="AK32">
        <f t="shared" si="1"/>
        <v>0</v>
      </c>
      <c r="AL32">
        <f t="shared" si="1"/>
        <v>0</v>
      </c>
      <c r="AM32">
        <f t="shared" si="1"/>
        <v>0</v>
      </c>
      <c r="AN32">
        <f t="shared" si="1"/>
        <v>0</v>
      </c>
      <c r="AO32">
        <f t="shared" si="1"/>
        <v>0</v>
      </c>
      <c r="AP32">
        <f t="shared" si="1"/>
        <v>0</v>
      </c>
      <c r="AQ32">
        <f t="shared" si="1"/>
        <v>0</v>
      </c>
      <c r="AR32">
        <f t="shared" si="1"/>
        <v>0</v>
      </c>
      <c r="AS32">
        <f t="shared" si="1"/>
        <v>0</v>
      </c>
      <c r="AT32">
        <f t="shared" si="1"/>
        <v>0</v>
      </c>
      <c r="AU32">
        <f t="shared" si="1"/>
        <v>0</v>
      </c>
      <c r="AV32">
        <f t="shared" si="1"/>
        <v>0</v>
      </c>
      <c r="AW32">
        <f t="shared" si="1"/>
        <v>0</v>
      </c>
      <c r="AX32">
        <f t="shared" si="1"/>
        <v>0</v>
      </c>
      <c r="AY32">
        <f t="shared" si="1"/>
        <v>0</v>
      </c>
      <c r="AZ32">
        <f t="shared" si="1"/>
        <v>0</v>
      </c>
      <c r="BA32">
        <f t="shared" si="1"/>
        <v>0</v>
      </c>
      <c r="BB32">
        <f t="shared" si="1"/>
        <v>0</v>
      </c>
      <c r="BC32">
        <f t="shared" si="1"/>
        <v>0</v>
      </c>
      <c r="BD32">
        <f t="shared" si="1"/>
        <v>0</v>
      </c>
      <c r="BE32">
        <f t="shared" si="1"/>
        <v>0</v>
      </c>
      <c r="BF32">
        <f t="shared" si="1"/>
        <v>0</v>
      </c>
      <c r="BG32">
        <f t="shared" si="1"/>
        <v>0</v>
      </c>
    </row>
    <row r="33" spans="1:59" hidden="1">
      <c r="A33">
        <f t="shared" ref="A33:A56" si="2">SUM(B33:BF33)</f>
        <v>0</v>
      </c>
      <c r="B33">
        <f t="shared" si="0"/>
        <v>0</v>
      </c>
      <c r="C33">
        <f t="shared" ref="C33:Q33" si="3">IF(C5&gt;0,1,0)</f>
        <v>0</v>
      </c>
      <c r="D33">
        <f t="shared" si="3"/>
        <v>0</v>
      </c>
      <c r="E33">
        <f t="shared" si="3"/>
        <v>0</v>
      </c>
      <c r="F33">
        <f t="shared" si="3"/>
        <v>0</v>
      </c>
      <c r="G33">
        <f t="shared" si="3"/>
        <v>0</v>
      </c>
      <c r="H33">
        <f t="shared" si="3"/>
        <v>0</v>
      </c>
      <c r="I33">
        <f t="shared" si="3"/>
        <v>0</v>
      </c>
      <c r="J33">
        <f t="shared" si="3"/>
        <v>0</v>
      </c>
      <c r="K33">
        <f t="shared" si="3"/>
        <v>0</v>
      </c>
      <c r="L33">
        <f t="shared" si="3"/>
        <v>0</v>
      </c>
      <c r="M33">
        <f t="shared" si="3"/>
        <v>0</v>
      </c>
      <c r="N33">
        <f t="shared" si="3"/>
        <v>0</v>
      </c>
      <c r="O33">
        <f t="shared" si="3"/>
        <v>0</v>
      </c>
      <c r="P33">
        <f t="shared" si="3"/>
        <v>0</v>
      </c>
      <c r="Q33">
        <f t="shared" si="3"/>
        <v>0</v>
      </c>
      <c r="R33">
        <f t="shared" si="1"/>
        <v>0</v>
      </c>
      <c r="S33">
        <f t="shared" si="1"/>
        <v>0</v>
      </c>
      <c r="T33">
        <f t="shared" si="1"/>
        <v>0</v>
      </c>
      <c r="U33">
        <f t="shared" si="1"/>
        <v>0</v>
      </c>
      <c r="V33">
        <f t="shared" si="1"/>
        <v>0</v>
      </c>
      <c r="W33">
        <f t="shared" si="1"/>
        <v>0</v>
      </c>
      <c r="X33">
        <f t="shared" si="1"/>
        <v>0</v>
      </c>
      <c r="Y33">
        <f t="shared" si="1"/>
        <v>0</v>
      </c>
      <c r="Z33">
        <f t="shared" si="1"/>
        <v>0</v>
      </c>
      <c r="AA33">
        <f t="shared" si="1"/>
        <v>0</v>
      </c>
      <c r="AB33">
        <f t="shared" si="1"/>
        <v>0</v>
      </c>
      <c r="AC33">
        <f t="shared" si="1"/>
        <v>0</v>
      </c>
      <c r="AD33">
        <f t="shared" si="1"/>
        <v>0</v>
      </c>
      <c r="AE33">
        <f t="shared" si="1"/>
        <v>0</v>
      </c>
      <c r="AF33">
        <f t="shared" si="1"/>
        <v>0</v>
      </c>
      <c r="AG33">
        <f t="shared" si="1"/>
        <v>0</v>
      </c>
      <c r="AH33">
        <f t="shared" si="1"/>
        <v>0</v>
      </c>
      <c r="AI33">
        <f t="shared" si="1"/>
        <v>0</v>
      </c>
      <c r="AJ33">
        <f t="shared" si="1"/>
        <v>0</v>
      </c>
      <c r="AK33">
        <f t="shared" si="1"/>
        <v>0</v>
      </c>
      <c r="AL33">
        <f t="shared" si="1"/>
        <v>0</v>
      </c>
      <c r="AM33">
        <f t="shared" si="1"/>
        <v>0</v>
      </c>
      <c r="AN33">
        <f t="shared" si="1"/>
        <v>0</v>
      </c>
      <c r="AO33">
        <f t="shared" si="1"/>
        <v>0</v>
      </c>
      <c r="AP33">
        <f t="shared" si="1"/>
        <v>0</v>
      </c>
      <c r="AQ33">
        <f t="shared" si="1"/>
        <v>0</v>
      </c>
      <c r="AR33">
        <f t="shared" si="1"/>
        <v>0</v>
      </c>
      <c r="AS33">
        <f t="shared" si="1"/>
        <v>0</v>
      </c>
      <c r="AT33">
        <f t="shared" si="1"/>
        <v>0</v>
      </c>
      <c r="AU33">
        <f t="shared" si="1"/>
        <v>0</v>
      </c>
      <c r="AV33">
        <f t="shared" si="1"/>
        <v>0</v>
      </c>
      <c r="AW33">
        <f t="shared" si="1"/>
        <v>0</v>
      </c>
      <c r="AX33">
        <f t="shared" si="1"/>
        <v>0</v>
      </c>
      <c r="AY33">
        <f t="shared" si="1"/>
        <v>0</v>
      </c>
      <c r="AZ33">
        <f t="shared" si="1"/>
        <v>0</v>
      </c>
      <c r="BA33">
        <f t="shared" si="1"/>
        <v>0</v>
      </c>
      <c r="BB33">
        <f t="shared" si="1"/>
        <v>0</v>
      </c>
      <c r="BC33">
        <f t="shared" si="1"/>
        <v>0</v>
      </c>
      <c r="BD33">
        <f t="shared" si="1"/>
        <v>0</v>
      </c>
      <c r="BE33">
        <f t="shared" si="1"/>
        <v>0</v>
      </c>
      <c r="BF33">
        <f t="shared" si="1"/>
        <v>0</v>
      </c>
      <c r="BG33">
        <f t="shared" si="1"/>
        <v>0</v>
      </c>
    </row>
    <row r="34" spans="1:59" hidden="1">
      <c r="A34">
        <f t="shared" si="2"/>
        <v>0</v>
      </c>
      <c r="B34">
        <f t="shared" si="0"/>
        <v>0</v>
      </c>
      <c r="C34">
        <f t="shared" si="1"/>
        <v>0</v>
      </c>
      <c r="D34">
        <f t="shared" si="1"/>
        <v>0</v>
      </c>
      <c r="E34">
        <f t="shared" si="1"/>
        <v>0</v>
      </c>
      <c r="F34">
        <f t="shared" si="1"/>
        <v>0</v>
      </c>
      <c r="G34">
        <f t="shared" si="1"/>
        <v>0</v>
      </c>
      <c r="H34">
        <f t="shared" si="1"/>
        <v>0</v>
      </c>
      <c r="I34">
        <f t="shared" si="1"/>
        <v>0</v>
      </c>
      <c r="J34">
        <f t="shared" si="1"/>
        <v>0</v>
      </c>
      <c r="K34">
        <f t="shared" si="1"/>
        <v>0</v>
      </c>
      <c r="L34">
        <f t="shared" si="1"/>
        <v>0</v>
      </c>
      <c r="M34">
        <f t="shared" si="1"/>
        <v>0</v>
      </c>
      <c r="N34">
        <f t="shared" si="1"/>
        <v>0</v>
      </c>
      <c r="O34">
        <f t="shared" si="1"/>
        <v>0</v>
      </c>
      <c r="P34">
        <f t="shared" si="1"/>
        <v>0</v>
      </c>
      <c r="Q34">
        <f t="shared" si="1"/>
        <v>0</v>
      </c>
      <c r="R34">
        <f t="shared" si="1"/>
        <v>0</v>
      </c>
      <c r="S34">
        <f t="shared" si="1"/>
        <v>0</v>
      </c>
      <c r="T34">
        <f t="shared" si="1"/>
        <v>0</v>
      </c>
      <c r="U34">
        <f t="shared" si="1"/>
        <v>0</v>
      </c>
      <c r="V34">
        <f t="shared" si="1"/>
        <v>0</v>
      </c>
      <c r="W34">
        <f t="shared" si="1"/>
        <v>0</v>
      </c>
      <c r="X34">
        <f t="shared" si="1"/>
        <v>0</v>
      </c>
      <c r="Y34">
        <f t="shared" si="1"/>
        <v>0</v>
      </c>
      <c r="Z34">
        <f t="shared" si="1"/>
        <v>0</v>
      </c>
      <c r="AA34">
        <f t="shared" si="1"/>
        <v>0</v>
      </c>
      <c r="AB34">
        <f t="shared" si="1"/>
        <v>0</v>
      </c>
      <c r="AC34">
        <f t="shared" si="1"/>
        <v>0</v>
      </c>
      <c r="AD34">
        <f t="shared" si="1"/>
        <v>0</v>
      </c>
      <c r="AE34">
        <f t="shared" si="1"/>
        <v>0</v>
      </c>
      <c r="AF34">
        <f t="shared" si="1"/>
        <v>0</v>
      </c>
      <c r="AG34">
        <f t="shared" si="1"/>
        <v>0</v>
      </c>
      <c r="AH34">
        <f t="shared" si="1"/>
        <v>0</v>
      </c>
      <c r="AI34">
        <f t="shared" si="1"/>
        <v>0</v>
      </c>
      <c r="AJ34">
        <f t="shared" si="1"/>
        <v>0</v>
      </c>
      <c r="AK34">
        <f t="shared" si="1"/>
        <v>0</v>
      </c>
      <c r="AL34">
        <f t="shared" si="1"/>
        <v>0</v>
      </c>
      <c r="AM34">
        <f t="shared" si="1"/>
        <v>0</v>
      </c>
      <c r="AN34">
        <f t="shared" si="1"/>
        <v>0</v>
      </c>
      <c r="AO34">
        <f t="shared" si="1"/>
        <v>0</v>
      </c>
      <c r="AP34">
        <f t="shared" si="1"/>
        <v>0</v>
      </c>
      <c r="AQ34">
        <f t="shared" si="1"/>
        <v>0</v>
      </c>
      <c r="AR34">
        <f t="shared" si="1"/>
        <v>0</v>
      </c>
      <c r="AS34">
        <f t="shared" si="1"/>
        <v>0</v>
      </c>
      <c r="AT34">
        <f t="shared" si="1"/>
        <v>0</v>
      </c>
      <c r="AU34">
        <f t="shared" si="1"/>
        <v>0</v>
      </c>
      <c r="AV34">
        <f t="shared" si="1"/>
        <v>0</v>
      </c>
      <c r="AW34">
        <f t="shared" si="1"/>
        <v>0</v>
      </c>
      <c r="AX34">
        <f t="shared" si="1"/>
        <v>0</v>
      </c>
      <c r="AY34">
        <f t="shared" si="1"/>
        <v>0</v>
      </c>
      <c r="AZ34">
        <f t="shared" si="1"/>
        <v>0</v>
      </c>
      <c r="BA34">
        <f t="shared" si="1"/>
        <v>0</v>
      </c>
      <c r="BB34">
        <f t="shared" si="1"/>
        <v>0</v>
      </c>
      <c r="BC34">
        <f t="shared" si="1"/>
        <v>0</v>
      </c>
      <c r="BD34">
        <f t="shared" si="1"/>
        <v>0</v>
      </c>
      <c r="BE34">
        <f t="shared" si="1"/>
        <v>0</v>
      </c>
      <c r="BF34">
        <f t="shared" si="1"/>
        <v>0</v>
      </c>
      <c r="BG34">
        <f t="shared" si="1"/>
        <v>0</v>
      </c>
    </row>
    <row r="35" spans="1:59" hidden="1">
      <c r="A35" t="e">
        <f t="shared" si="2"/>
        <v>#REF!</v>
      </c>
      <c r="B35">
        <f t="shared" si="0"/>
        <v>0</v>
      </c>
      <c r="C35">
        <f t="shared" si="1"/>
        <v>0</v>
      </c>
      <c r="D35">
        <f t="shared" si="1"/>
        <v>0</v>
      </c>
      <c r="E35">
        <f t="shared" si="1"/>
        <v>0</v>
      </c>
      <c r="F35">
        <f t="shared" si="1"/>
        <v>0</v>
      </c>
      <c r="G35">
        <f t="shared" si="1"/>
        <v>0</v>
      </c>
      <c r="H35">
        <f t="shared" si="1"/>
        <v>0</v>
      </c>
      <c r="I35">
        <f t="shared" si="1"/>
        <v>0</v>
      </c>
      <c r="J35">
        <f t="shared" si="1"/>
        <v>0</v>
      </c>
      <c r="K35">
        <f t="shared" si="1"/>
        <v>0</v>
      </c>
      <c r="L35">
        <f t="shared" si="1"/>
        <v>0</v>
      </c>
      <c r="M35">
        <f t="shared" si="1"/>
        <v>0</v>
      </c>
      <c r="N35">
        <f t="shared" si="1"/>
        <v>0</v>
      </c>
      <c r="O35">
        <f t="shared" si="1"/>
        <v>0</v>
      </c>
      <c r="P35">
        <f t="shared" si="1"/>
        <v>0</v>
      </c>
      <c r="Q35">
        <f t="shared" si="1"/>
        <v>0</v>
      </c>
      <c r="R35">
        <f t="shared" si="1"/>
        <v>0</v>
      </c>
      <c r="S35">
        <f t="shared" si="1"/>
        <v>0</v>
      </c>
      <c r="T35">
        <f t="shared" si="1"/>
        <v>0</v>
      </c>
      <c r="U35">
        <f t="shared" si="1"/>
        <v>0</v>
      </c>
      <c r="V35">
        <f t="shared" si="1"/>
        <v>0</v>
      </c>
      <c r="W35">
        <f t="shared" si="1"/>
        <v>0</v>
      </c>
      <c r="X35">
        <f t="shared" si="1"/>
        <v>0</v>
      </c>
      <c r="Y35">
        <f t="shared" si="1"/>
        <v>0</v>
      </c>
      <c r="Z35">
        <f t="shared" si="1"/>
        <v>0</v>
      </c>
      <c r="AA35">
        <f t="shared" si="1"/>
        <v>0</v>
      </c>
      <c r="AB35">
        <f t="shared" si="1"/>
        <v>0</v>
      </c>
      <c r="AC35">
        <f t="shared" si="1"/>
        <v>0</v>
      </c>
      <c r="AD35">
        <f t="shared" si="1"/>
        <v>0</v>
      </c>
      <c r="AE35">
        <f t="shared" si="1"/>
        <v>0</v>
      </c>
      <c r="AF35">
        <f t="shared" si="1"/>
        <v>0</v>
      </c>
      <c r="AG35">
        <f t="shared" si="1"/>
        <v>0</v>
      </c>
      <c r="AH35">
        <f t="shared" si="1"/>
        <v>0</v>
      </c>
      <c r="AI35">
        <f t="shared" si="1"/>
        <v>0</v>
      </c>
      <c r="AJ35">
        <f t="shared" si="1"/>
        <v>0</v>
      </c>
      <c r="AK35" t="e">
        <f>IF(#REF!&gt;0,1,0)</f>
        <v>#REF!</v>
      </c>
      <c r="AL35" t="e">
        <f>IF(#REF!&gt;0,1,0)</f>
        <v>#REF!</v>
      </c>
      <c r="AM35" t="e">
        <f>IF(#REF!&gt;0,1,0)</f>
        <v>#REF!</v>
      </c>
      <c r="AN35" t="e">
        <f>IF(#REF!&gt;0,1,0)</f>
        <v>#REF!</v>
      </c>
      <c r="AO35" t="e">
        <f>IF(#REF!&gt;0,1,0)</f>
        <v>#REF!</v>
      </c>
      <c r="AP35" t="e">
        <f>IF(#REF!&gt;0,1,0)</f>
        <v>#REF!</v>
      </c>
      <c r="AQ35" t="e">
        <f>IF(#REF!&gt;0,1,0)</f>
        <v>#REF!</v>
      </c>
      <c r="AR35" t="e">
        <f>IF(#REF!&gt;0,1,0)</f>
        <v>#REF!</v>
      </c>
      <c r="AS35" t="e">
        <f>IF(#REF!&gt;0,1,0)</f>
        <v>#REF!</v>
      </c>
      <c r="AT35" t="e">
        <f>IF(#REF!&gt;0,1,0)</f>
        <v>#REF!</v>
      </c>
      <c r="AU35">
        <f t="shared" si="1"/>
        <v>0</v>
      </c>
      <c r="AV35">
        <f t="shared" si="1"/>
        <v>0</v>
      </c>
      <c r="AW35">
        <f t="shared" si="1"/>
        <v>0</v>
      </c>
      <c r="AX35">
        <f t="shared" si="1"/>
        <v>0</v>
      </c>
      <c r="AY35">
        <f t="shared" si="1"/>
        <v>0</v>
      </c>
      <c r="AZ35">
        <f t="shared" si="1"/>
        <v>0</v>
      </c>
      <c r="BA35">
        <f t="shared" si="1"/>
        <v>0</v>
      </c>
      <c r="BB35">
        <f t="shared" si="1"/>
        <v>0</v>
      </c>
      <c r="BC35">
        <f t="shared" si="1"/>
        <v>0</v>
      </c>
      <c r="BD35">
        <f t="shared" si="1"/>
        <v>0</v>
      </c>
      <c r="BE35">
        <f t="shared" si="1"/>
        <v>0</v>
      </c>
      <c r="BF35">
        <f t="shared" si="1"/>
        <v>0</v>
      </c>
      <c r="BG35">
        <f t="shared" si="1"/>
        <v>0</v>
      </c>
    </row>
    <row r="36" spans="1:59" hidden="1">
      <c r="A36" t="e">
        <f t="shared" si="2"/>
        <v>#REF!</v>
      </c>
      <c r="B36">
        <f t="shared" si="0"/>
        <v>0</v>
      </c>
      <c r="C36">
        <f t="shared" si="1"/>
        <v>0</v>
      </c>
      <c r="D36">
        <f t="shared" si="1"/>
        <v>0</v>
      </c>
      <c r="E36">
        <f t="shared" si="1"/>
        <v>0</v>
      </c>
      <c r="F36">
        <f t="shared" si="1"/>
        <v>0</v>
      </c>
      <c r="G36">
        <f t="shared" si="1"/>
        <v>0</v>
      </c>
      <c r="H36">
        <f t="shared" si="1"/>
        <v>0</v>
      </c>
      <c r="I36">
        <f t="shared" si="1"/>
        <v>0</v>
      </c>
      <c r="J36">
        <f t="shared" si="1"/>
        <v>0</v>
      </c>
      <c r="K36">
        <f t="shared" si="1"/>
        <v>0</v>
      </c>
      <c r="L36">
        <f t="shared" si="1"/>
        <v>0</v>
      </c>
      <c r="M36">
        <f t="shared" si="1"/>
        <v>0</v>
      </c>
      <c r="N36">
        <f t="shared" si="1"/>
        <v>0</v>
      </c>
      <c r="O36">
        <f t="shared" si="1"/>
        <v>0</v>
      </c>
      <c r="P36">
        <f t="shared" si="1"/>
        <v>0</v>
      </c>
      <c r="Q36">
        <f t="shared" si="1"/>
        <v>0</v>
      </c>
      <c r="R36">
        <f t="shared" si="1"/>
        <v>0</v>
      </c>
      <c r="S36">
        <f t="shared" si="1"/>
        <v>0</v>
      </c>
      <c r="T36">
        <f t="shared" si="1"/>
        <v>0</v>
      </c>
      <c r="U36">
        <f t="shared" si="1"/>
        <v>0</v>
      </c>
      <c r="V36">
        <f t="shared" ref="V36:AE36" si="4">IF(AK7&gt;0,1,0)</f>
        <v>0</v>
      </c>
      <c r="W36">
        <f t="shared" si="4"/>
        <v>0</v>
      </c>
      <c r="X36">
        <f t="shared" si="4"/>
        <v>0</v>
      </c>
      <c r="Y36">
        <f t="shared" si="4"/>
        <v>0</v>
      </c>
      <c r="Z36">
        <f t="shared" si="4"/>
        <v>0</v>
      </c>
      <c r="AA36">
        <f t="shared" si="4"/>
        <v>0</v>
      </c>
      <c r="AB36">
        <f t="shared" si="4"/>
        <v>0</v>
      </c>
      <c r="AC36">
        <f t="shared" si="4"/>
        <v>0</v>
      </c>
      <c r="AD36">
        <f t="shared" si="4"/>
        <v>0</v>
      </c>
      <c r="AE36">
        <f t="shared" si="4"/>
        <v>0</v>
      </c>
      <c r="AF36">
        <f t="shared" si="1"/>
        <v>0</v>
      </c>
      <c r="AG36">
        <f t="shared" si="1"/>
        <v>0</v>
      </c>
      <c r="AH36">
        <f t="shared" si="1"/>
        <v>0</v>
      </c>
      <c r="AI36">
        <f t="shared" si="1"/>
        <v>0</v>
      </c>
      <c r="AJ36">
        <f t="shared" si="1"/>
        <v>0</v>
      </c>
      <c r="AK36">
        <f t="shared" si="1"/>
        <v>0</v>
      </c>
      <c r="AL36">
        <f t="shared" ref="AL36:AR36" si="5">IF(AL8&gt;0,1,0)</f>
        <v>0</v>
      </c>
      <c r="AM36">
        <f t="shared" si="5"/>
        <v>0</v>
      </c>
      <c r="AN36">
        <f t="shared" si="5"/>
        <v>0</v>
      </c>
      <c r="AO36">
        <f t="shared" si="5"/>
        <v>0</v>
      </c>
      <c r="AP36">
        <f t="shared" si="5"/>
        <v>0</v>
      </c>
      <c r="AQ36">
        <f t="shared" si="5"/>
        <v>0</v>
      </c>
      <c r="AR36">
        <f t="shared" si="5"/>
        <v>0</v>
      </c>
      <c r="AS36" t="e">
        <f>IF(#REF!&gt;0,1,0)</f>
        <v>#REF!</v>
      </c>
      <c r="AT36">
        <f t="shared" ref="C36:BG41" si="6">IF(AT8&gt;0,1,0)</f>
        <v>0</v>
      </c>
      <c r="AU36">
        <f t="shared" si="6"/>
        <v>0</v>
      </c>
      <c r="AV36">
        <f t="shared" si="6"/>
        <v>0</v>
      </c>
      <c r="AW36">
        <f t="shared" si="6"/>
        <v>0</v>
      </c>
      <c r="AX36">
        <f t="shared" si="6"/>
        <v>0</v>
      </c>
      <c r="AY36">
        <f t="shared" si="6"/>
        <v>0</v>
      </c>
      <c r="AZ36">
        <f t="shared" si="6"/>
        <v>0</v>
      </c>
      <c r="BA36">
        <f t="shared" si="6"/>
        <v>0</v>
      </c>
      <c r="BB36">
        <f t="shared" si="6"/>
        <v>0</v>
      </c>
      <c r="BC36">
        <f t="shared" si="6"/>
        <v>0</v>
      </c>
      <c r="BD36">
        <f t="shared" si="6"/>
        <v>0</v>
      </c>
      <c r="BE36">
        <f t="shared" si="6"/>
        <v>0</v>
      </c>
      <c r="BF36">
        <f t="shared" si="6"/>
        <v>0</v>
      </c>
      <c r="BG36">
        <f t="shared" si="6"/>
        <v>0</v>
      </c>
    </row>
    <row r="37" spans="1:59" hidden="1">
      <c r="A37" t="e">
        <f t="shared" si="2"/>
        <v>#REF!</v>
      </c>
      <c r="B37">
        <f t="shared" si="0"/>
        <v>0</v>
      </c>
      <c r="C37">
        <f t="shared" si="6"/>
        <v>0</v>
      </c>
      <c r="D37">
        <f t="shared" si="6"/>
        <v>0</v>
      </c>
      <c r="E37">
        <f t="shared" si="6"/>
        <v>0</v>
      </c>
      <c r="F37">
        <f t="shared" si="6"/>
        <v>0</v>
      </c>
      <c r="G37">
        <f t="shared" si="6"/>
        <v>0</v>
      </c>
      <c r="H37">
        <f t="shared" si="6"/>
        <v>0</v>
      </c>
      <c r="I37">
        <f t="shared" si="6"/>
        <v>0</v>
      </c>
      <c r="J37">
        <f t="shared" si="6"/>
        <v>0</v>
      </c>
      <c r="K37">
        <f t="shared" si="6"/>
        <v>0</v>
      </c>
      <c r="L37">
        <f t="shared" si="6"/>
        <v>0</v>
      </c>
      <c r="M37">
        <f t="shared" si="6"/>
        <v>0</v>
      </c>
      <c r="N37">
        <f t="shared" si="6"/>
        <v>0</v>
      </c>
      <c r="O37">
        <f t="shared" si="6"/>
        <v>0</v>
      </c>
      <c r="P37">
        <f t="shared" si="6"/>
        <v>0</v>
      </c>
      <c r="Q37">
        <f t="shared" si="6"/>
        <v>0</v>
      </c>
      <c r="R37">
        <f t="shared" si="6"/>
        <v>0</v>
      </c>
      <c r="S37">
        <f t="shared" si="6"/>
        <v>0</v>
      </c>
      <c r="T37">
        <f t="shared" si="6"/>
        <v>0</v>
      </c>
      <c r="U37">
        <f t="shared" si="6"/>
        <v>0</v>
      </c>
      <c r="V37">
        <f t="shared" si="6"/>
        <v>0</v>
      </c>
      <c r="W37">
        <f t="shared" si="6"/>
        <v>0</v>
      </c>
      <c r="X37">
        <f t="shared" si="6"/>
        <v>0</v>
      </c>
      <c r="Y37">
        <f t="shared" si="6"/>
        <v>0</v>
      </c>
      <c r="Z37">
        <f t="shared" si="6"/>
        <v>0</v>
      </c>
      <c r="AA37">
        <f t="shared" si="6"/>
        <v>0</v>
      </c>
      <c r="AB37">
        <f t="shared" si="6"/>
        <v>0</v>
      </c>
      <c r="AC37">
        <f t="shared" si="6"/>
        <v>0</v>
      </c>
      <c r="AD37">
        <f t="shared" si="6"/>
        <v>0</v>
      </c>
      <c r="AE37">
        <f t="shared" si="6"/>
        <v>0</v>
      </c>
      <c r="AF37">
        <f t="shared" si="6"/>
        <v>0</v>
      </c>
      <c r="AG37">
        <f t="shared" si="6"/>
        <v>0</v>
      </c>
      <c r="AH37">
        <f t="shared" si="6"/>
        <v>0</v>
      </c>
      <c r="AI37">
        <f t="shared" si="6"/>
        <v>0</v>
      </c>
      <c r="AJ37">
        <f t="shared" si="6"/>
        <v>0</v>
      </c>
      <c r="AK37">
        <f t="shared" si="6"/>
        <v>0</v>
      </c>
      <c r="AL37" t="e">
        <f>IF(#REF!&gt;0,1,0)</f>
        <v>#REF!</v>
      </c>
      <c r="AM37" t="e">
        <f>IF(#REF!&gt;0,1,0)</f>
        <v>#REF!</v>
      </c>
      <c r="AN37" t="e">
        <f>IF(#REF!&gt;0,1,0)</f>
        <v>#REF!</v>
      </c>
      <c r="AO37" t="e">
        <f>IF(#REF!&gt;0,1,0)</f>
        <v>#REF!</v>
      </c>
      <c r="AP37" t="e">
        <f>IF(#REF!&gt;0,1,0)</f>
        <v>#REF!</v>
      </c>
      <c r="AQ37" t="e">
        <f>IF(#REF!&gt;0,1,0)</f>
        <v>#REF!</v>
      </c>
      <c r="AR37" t="e">
        <f>IF(#REF!&gt;0,1,0)</f>
        <v>#REF!</v>
      </c>
      <c r="AS37">
        <f>IF(AS8&gt;0,1,0)</f>
        <v>0</v>
      </c>
      <c r="BD37">
        <f t="shared" si="6"/>
        <v>0</v>
      </c>
      <c r="BE37">
        <f t="shared" si="6"/>
        <v>0</v>
      </c>
      <c r="BF37">
        <f t="shared" si="6"/>
        <v>0</v>
      </c>
      <c r="BG37">
        <f t="shared" si="6"/>
        <v>0</v>
      </c>
    </row>
    <row r="38" spans="1:59" hidden="1">
      <c r="A38">
        <f t="shared" si="2"/>
        <v>0</v>
      </c>
      <c r="B38">
        <f t="shared" si="0"/>
        <v>0</v>
      </c>
      <c r="C38">
        <f t="shared" si="6"/>
        <v>0</v>
      </c>
      <c r="D38">
        <f t="shared" si="6"/>
        <v>0</v>
      </c>
      <c r="E38">
        <f t="shared" si="6"/>
        <v>0</v>
      </c>
      <c r="F38">
        <f t="shared" si="6"/>
        <v>0</v>
      </c>
      <c r="G38">
        <f t="shared" si="6"/>
        <v>0</v>
      </c>
      <c r="H38">
        <f t="shared" si="6"/>
        <v>0</v>
      </c>
      <c r="I38">
        <f t="shared" si="6"/>
        <v>0</v>
      </c>
      <c r="J38">
        <f t="shared" si="6"/>
        <v>0</v>
      </c>
      <c r="K38">
        <f t="shared" si="6"/>
        <v>0</v>
      </c>
      <c r="L38">
        <f t="shared" si="6"/>
        <v>0</v>
      </c>
      <c r="M38">
        <f t="shared" si="6"/>
        <v>0</v>
      </c>
      <c r="N38">
        <f t="shared" si="6"/>
        <v>0</v>
      </c>
      <c r="O38">
        <f t="shared" si="6"/>
        <v>0</v>
      </c>
      <c r="P38">
        <f t="shared" si="6"/>
        <v>0</v>
      </c>
      <c r="Q38">
        <f t="shared" si="6"/>
        <v>0</v>
      </c>
      <c r="R38">
        <f t="shared" si="6"/>
        <v>0</v>
      </c>
      <c r="S38">
        <f t="shared" si="6"/>
        <v>0</v>
      </c>
      <c r="T38">
        <f t="shared" si="6"/>
        <v>0</v>
      </c>
      <c r="U38">
        <f t="shared" si="6"/>
        <v>0</v>
      </c>
      <c r="V38">
        <f t="shared" si="6"/>
        <v>0</v>
      </c>
      <c r="W38">
        <f t="shared" si="6"/>
        <v>0</v>
      </c>
      <c r="X38">
        <f t="shared" si="6"/>
        <v>0</v>
      </c>
      <c r="Y38">
        <f t="shared" si="6"/>
        <v>0</v>
      </c>
      <c r="Z38">
        <f t="shared" si="6"/>
        <v>0</v>
      </c>
      <c r="AA38">
        <f t="shared" si="6"/>
        <v>0</v>
      </c>
      <c r="AB38">
        <f t="shared" si="6"/>
        <v>0</v>
      </c>
      <c r="AC38">
        <f t="shared" si="6"/>
        <v>0</v>
      </c>
      <c r="AD38">
        <f t="shared" si="6"/>
        <v>0</v>
      </c>
      <c r="AE38">
        <f t="shared" si="6"/>
        <v>0</v>
      </c>
      <c r="AF38">
        <f t="shared" si="6"/>
        <v>0</v>
      </c>
      <c r="AG38">
        <f t="shared" si="6"/>
        <v>0</v>
      </c>
      <c r="AH38">
        <f t="shared" si="6"/>
        <v>0</v>
      </c>
      <c r="AI38">
        <f t="shared" si="6"/>
        <v>0</v>
      </c>
      <c r="AJ38">
        <f t="shared" si="6"/>
        <v>0</v>
      </c>
      <c r="AK38">
        <f t="shared" si="6"/>
        <v>0</v>
      </c>
      <c r="AL38">
        <f t="shared" si="6"/>
        <v>0</v>
      </c>
      <c r="AM38">
        <f t="shared" si="6"/>
        <v>0</v>
      </c>
      <c r="AN38">
        <f t="shared" si="6"/>
        <v>0</v>
      </c>
      <c r="AO38">
        <f t="shared" si="6"/>
        <v>0</v>
      </c>
      <c r="AP38">
        <f t="shared" si="6"/>
        <v>0</v>
      </c>
      <c r="AQ38">
        <f t="shared" si="6"/>
        <v>0</v>
      </c>
      <c r="AR38">
        <f t="shared" si="6"/>
        <v>0</v>
      </c>
      <c r="AS38">
        <f t="shared" si="6"/>
        <v>0</v>
      </c>
      <c r="BD38">
        <f t="shared" si="6"/>
        <v>0</v>
      </c>
      <c r="BE38">
        <f t="shared" si="6"/>
        <v>0</v>
      </c>
      <c r="BF38">
        <f t="shared" si="6"/>
        <v>0</v>
      </c>
      <c r="BG38">
        <f t="shared" si="6"/>
        <v>0</v>
      </c>
    </row>
    <row r="39" spans="1:59" hidden="1">
      <c r="A39">
        <f t="shared" si="2"/>
        <v>0</v>
      </c>
      <c r="B39">
        <f t="shared" si="0"/>
        <v>0</v>
      </c>
      <c r="C39">
        <f t="shared" si="6"/>
        <v>0</v>
      </c>
      <c r="D39">
        <f t="shared" si="6"/>
        <v>0</v>
      </c>
      <c r="E39">
        <f t="shared" si="6"/>
        <v>0</v>
      </c>
      <c r="F39">
        <f t="shared" si="6"/>
        <v>0</v>
      </c>
      <c r="G39">
        <f t="shared" si="6"/>
        <v>0</v>
      </c>
      <c r="H39">
        <f t="shared" si="6"/>
        <v>0</v>
      </c>
      <c r="I39">
        <f t="shared" si="6"/>
        <v>0</v>
      </c>
      <c r="J39">
        <f t="shared" si="6"/>
        <v>0</v>
      </c>
      <c r="K39">
        <f t="shared" si="6"/>
        <v>0</v>
      </c>
      <c r="L39">
        <f t="shared" si="6"/>
        <v>0</v>
      </c>
      <c r="M39">
        <f t="shared" si="6"/>
        <v>0</v>
      </c>
      <c r="N39">
        <f t="shared" si="6"/>
        <v>0</v>
      </c>
      <c r="O39">
        <f t="shared" si="6"/>
        <v>0</v>
      </c>
      <c r="P39">
        <f t="shared" si="6"/>
        <v>0</v>
      </c>
      <c r="Q39">
        <f t="shared" si="6"/>
        <v>0</v>
      </c>
      <c r="R39">
        <f t="shared" si="6"/>
        <v>0</v>
      </c>
      <c r="S39">
        <f t="shared" si="6"/>
        <v>0</v>
      </c>
      <c r="T39">
        <f t="shared" si="6"/>
        <v>0</v>
      </c>
      <c r="U39">
        <f t="shared" si="6"/>
        <v>0</v>
      </c>
      <c r="V39">
        <f t="shared" si="6"/>
        <v>0</v>
      </c>
      <c r="W39">
        <f t="shared" si="6"/>
        <v>0</v>
      </c>
      <c r="X39">
        <f t="shared" si="6"/>
        <v>0</v>
      </c>
      <c r="Y39">
        <f t="shared" si="6"/>
        <v>0</v>
      </c>
      <c r="Z39">
        <f t="shared" si="6"/>
        <v>0</v>
      </c>
      <c r="AA39">
        <f t="shared" si="6"/>
        <v>0</v>
      </c>
      <c r="AB39">
        <f t="shared" si="6"/>
        <v>0</v>
      </c>
      <c r="AC39">
        <f t="shared" si="6"/>
        <v>0</v>
      </c>
      <c r="AD39">
        <f t="shared" si="6"/>
        <v>0</v>
      </c>
      <c r="AE39">
        <f t="shared" si="6"/>
        <v>0</v>
      </c>
      <c r="AF39">
        <f t="shared" si="6"/>
        <v>0</v>
      </c>
      <c r="AG39">
        <f t="shared" si="6"/>
        <v>0</v>
      </c>
      <c r="AH39">
        <f t="shared" si="6"/>
        <v>0</v>
      </c>
      <c r="AI39">
        <f t="shared" si="6"/>
        <v>0</v>
      </c>
      <c r="AJ39">
        <f t="shared" si="6"/>
        <v>0</v>
      </c>
      <c r="AK39">
        <f t="shared" si="6"/>
        <v>0</v>
      </c>
      <c r="AL39">
        <f t="shared" si="6"/>
        <v>0</v>
      </c>
      <c r="AM39">
        <f t="shared" si="6"/>
        <v>0</v>
      </c>
      <c r="AN39">
        <f t="shared" si="6"/>
        <v>0</v>
      </c>
      <c r="AO39">
        <f t="shared" si="6"/>
        <v>0</v>
      </c>
      <c r="AP39">
        <f t="shared" si="6"/>
        <v>0</v>
      </c>
      <c r="AQ39">
        <f t="shared" si="6"/>
        <v>0</v>
      </c>
      <c r="AR39">
        <f t="shared" si="6"/>
        <v>0</v>
      </c>
      <c r="AS39">
        <f t="shared" si="6"/>
        <v>0</v>
      </c>
      <c r="BD39">
        <f t="shared" si="6"/>
        <v>0</v>
      </c>
      <c r="BE39">
        <f t="shared" si="6"/>
        <v>0</v>
      </c>
      <c r="BF39">
        <f t="shared" si="6"/>
        <v>0</v>
      </c>
      <c r="BG39">
        <f t="shared" si="6"/>
        <v>0</v>
      </c>
    </row>
    <row r="40" spans="1:59" hidden="1">
      <c r="A40">
        <f t="shared" si="2"/>
        <v>0</v>
      </c>
      <c r="B40">
        <f t="shared" si="0"/>
        <v>0</v>
      </c>
      <c r="C40">
        <f t="shared" si="6"/>
        <v>0</v>
      </c>
      <c r="D40">
        <f t="shared" si="6"/>
        <v>0</v>
      </c>
      <c r="E40">
        <f t="shared" si="6"/>
        <v>0</v>
      </c>
      <c r="F40">
        <f t="shared" si="6"/>
        <v>0</v>
      </c>
      <c r="G40">
        <f t="shared" si="6"/>
        <v>0</v>
      </c>
      <c r="H40">
        <f t="shared" si="6"/>
        <v>0</v>
      </c>
      <c r="I40">
        <f t="shared" si="6"/>
        <v>0</v>
      </c>
      <c r="J40">
        <f t="shared" si="6"/>
        <v>0</v>
      </c>
      <c r="K40">
        <f t="shared" si="6"/>
        <v>0</v>
      </c>
      <c r="L40">
        <f t="shared" si="6"/>
        <v>0</v>
      </c>
      <c r="M40">
        <f t="shared" si="6"/>
        <v>0</v>
      </c>
      <c r="N40">
        <f t="shared" si="6"/>
        <v>0</v>
      </c>
      <c r="O40">
        <f t="shared" si="6"/>
        <v>0</v>
      </c>
      <c r="P40">
        <f t="shared" si="6"/>
        <v>0</v>
      </c>
      <c r="Q40">
        <f t="shared" si="6"/>
        <v>0</v>
      </c>
      <c r="R40">
        <f t="shared" si="6"/>
        <v>0</v>
      </c>
      <c r="S40">
        <f t="shared" si="6"/>
        <v>0</v>
      </c>
      <c r="T40">
        <f t="shared" si="6"/>
        <v>0</v>
      </c>
      <c r="U40">
        <f t="shared" si="6"/>
        <v>0</v>
      </c>
      <c r="V40">
        <f t="shared" si="6"/>
        <v>0</v>
      </c>
      <c r="W40">
        <f t="shared" si="6"/>
        <v>0</v>
      </c>
      <c r="X40">
        <f t="shared" si="6"/>
        <v>0</v>
      </c>
      <c r="Y40">
        <f t="shared" si="6"/>
        <v>0</v>
      </c>
      <c r="Z40">
        <f t="shared" si="6"/>
        <v>0</v>
      </c>
      <c r="AA40">
        <f t="shared" si="6"/>
        <v>0</v>
      </c>
      <c r="AB40">
        <f t="shared" si="6"/>
        <v>0</v>
      </c>
      <c r="AC40">
        <f t="shared" si="6"/>
        <v>0</v>
      </c>
      <c r="AD40">
        <f t="shared" si="6"/>
        <v>0</v>
      </c>
      <c r="AE40">
        <f t="shared" si="6"/>
        <v>0</v>
      </c>
      <c r="AF40">
        <f t="shared" si="6"/>
        <v>0</v>
      </c>
      <c r="AG40">
        <f t="shared" si="6"/>
        <v>0</v>
      </c>
      <c r="AH40">
        <f t="shared" si="6"/>
        <v>0</v>
      </c>
      <c r="AI40">
        <f t="shared" si="6"/>
        <v>0</v>
      </c>
      <c r="AJ40">
        <f t="shared" si="6"/>
        <v>0</v>
      </c>
      <c r="AK40">
        <f t="shared" si="6"/>
        <v>0</v>
      </c>
      <c r="AL40">
        <f t="shared" si="6"/>
        <v>0</v>
      </c>
      <c r="AM40">
        <f t="shared" si="6"/>
        <v>0</v>
      </c>
      <c r="AN40">
        <f t="shared" si="6"/>
        <v>0</v>
      </c>
      <c r="AO40">
        <f t="shared" si="6"/>
        <v>0</v>
      </c>
      <c r="AP40">
        <f t="shared" si="6"/>
        <v>0</v>
      </c>
      <c r="AQ40">
        <f t="shared" si="6"/>
        <v>0</v>
      </c>
      <c r="AR40">
        <f t="shared" si="6"/>
        <v>0</v>
      </c>
      <c r="AS40">
        <f t="shared" si="6"/>
        <v>0</v>
      </c>
      <c r="BD40">
        <f t="shared" si="6"/>
        <v>0</v>
      </c>
      <c r="BE40">
        <f t="shared" si="6"/>
        <v>0</v>
      </c>
      <c r="BF40">
        <f t="shared" si="6"/>
        <v>0</v>
      </c>
      <c r="BG40">
        <f t="shared" si="6"/>
        <v>0</v>
      </c>
    </row>
    <row r="41" spans="1:59" hidden="1">
      <c r="A41">
        <f t="shared" si="2"/>
        <v>0</v>
      </c>
      <c r="B41">
        <f t="shared" si="0"/>
        <v>0</v>
      </c>
      <c r="C41">
        <f t="shared" si="6"/>
        <v>0</v>
      </c>
      <c r="D41">
        <f t="shared" si="6"/>
        <v>0</v>
      </c>
      <c r="E41">
        <f t="shared" si="6"/>
        <v>0</v>
      </c>
      <c r="F41">
        <f t="shared" si="6"/>
        <v>0</v>
      </c>
      <c r="G41">
        <f t="shared" si="6"/>
        <v>0</v>
      </c>
      <c r="H41">
        <f t="shared" si="6"/>
        <v>0</v>
      </c>
      <c r="I41">
        <f t="shared" si="6"/>
        <v>0</v>
      </c>
      <c r="J41">
        <f t="shared" si="6"/>
        <v>0</v>
      </c>
      <c r="K41">
        <f t="shared" si="6"/>
        <v>0</v>
      </c>
      <c r="L41">
        <f t="shared" si="6"/>
        <v>0</v>
      </c>
      <c r="M41">
        <f t="shared" si="6"/>
        <v>0</v>
      </c>
      <c r="N41">
        <f t="shared" si="6"/>
        <v>0</v>
      </c>
      <c r="O41">
        <f t="shared" ref="C41:BG45" si="7">IF(O13&gt;0,1,0)</f>
        <v>0</v>
      </c>
      <c r="P41">
        <f t="shared" si="7"/>
        <v>0</v>
      </c>
      <c r="Q41">
        <f t="shared" si="7"/>
        <v>0</v>
      </c>
      <c r="R41">
        <f t="shared" si="7"/>
        <v>0</v>
      </c>
      <c r="S41">
        <f t="shared" si="7"/>
        <v>0</v>
      </c>
      <c r="T41">
        <f t="shared" si="7"/>
        <v>0</v>
      </c>
      <c r="U41">
        <f t="shared" si="7"/>
        <v>0</v>
      </c>
      <c r="V41">
        <f t="shared" si="7"/>
        <v>0</v>
      </c>
      <c r="W41">
        <f t="shared" si="7"/>
        <v>0</v>
      </c>
      <c r="X41">
        <f t="shared" si="7"/>
        <v>0</v>
      </c>
      <c r="Y41">
        <f t="shared" si="7"/>
        <v>0</v>
      </c>
      <c r="Z41">
        <f t="shared" si="7"/>
        <v>0</v>
      </c>
      <c r="AA41">
        <f t="shared" si="7"/>
        <v>0</v>
      </c>
      <c r="AB41">
        <f t="shared" si="7"/>
        <v>0</v>
      </c>
      <c r="AC41">
        <f t="shared" si="7"/>
        <v>0</v>
      </c>
      <c r="AD41">
        <f t="shared" si="7"/>
        <v>0</v>
      </c>
      <c r="AE41">
        <f t="shared" si="7"/>
        <v>0</v>
      </c>
      <c r="AF41">
        <f t="shared" si="7"/>
        <v>0</v>
      </c>
      <c r="AG41">
        <f t="shared" si="7"/>
        <v>0</v>
      </c>
      <c r="AH41">
        <f t="shared" si="7"/>
        <v>0</v>
      </c>
      <c r="AI41">
        <f t="shared" si="7"/>
        <v>0</v>
      </c>
      <c r="AJ41">
        <f t="shared" si="7"/>
        <v>0</v>
      </c>
      <c r="AK41">
        <f t="shared" si="7"/>
        <v>0</v>
      </c>
      <c r="AL41">
        <f t="shared" si="7"/>
        <v>0</v>
      </c>
      <c r="AM41">
        <f t="shared" si="7"/>
        <v>0</v>
      </c>
      <c r="AN41">
        <f t="shared" si="7"/>
        <v>0</v>
      </c>
      <c r="AO41">
        <f t="shared" si="7"/>
        <v>0</v>
      </c>
      <c r="AP41">
        <f t="shared" si="7"/>
        <v>0</v>
      </c>
      <c r="AQ41">
        <f t="shared" si="7"/>
        <v>0</v>
      </c>
      <c r="AR41">
        <f t="shared" si="7"/>
        <v>0</v>
      </c>
      <c r="AS41">
        <f t="shared" si="7"/>
        <v>0</v>
      </c>
      <c r="BD41">
        <f t="shared" si="7"/>
        <v>0</v>
      </c>
      <c r="BE41">
        <f t="shared" si="7"/>
        <v>0</v>
      </c>
      <c r="BF41">
        <f t="shared" si="7"/>
        <v>0</v>
      </c>
      <c r="BG41">
        <f t="shared" si="7"/>
        <v>0</v>
      </c>
    </row>
    <row r="42" spans="1:59" hidden="1">
      <c r="A42">
        <f t="shared" si="2"/>
        <v>0</v>
      </c>
      <c r="B42">
        <f t="shared" si="0"/>
        <v>0</v>
      </c>
      <c r="C42">
        <f t="shared" si="7"/>
        <v>0</v>
      </c>
      <c r="D42">
        <f t="shared" si="7"/>
        <v>0</v>
      </c>
      <c r="E42">
        <f t="shared" si="7"/>
        <v>0</v>
      </c>
      <c r="F42">
        <f t="shared" si="7"/>
        <v>0</v>
      </c>
      <c r="G42">
        <f t="shared" si="7"/>
        <v>0</v>
      </c>
      <c r="H42">
        <f t="shared" si="7"/>
        <v>0</v>
      </c>
      <c r="I42">
        <f t="shared" si="7"/>
        <v>0</v>
      </c>
      <c r="J42">
        <f t="shared" si="7"/>
        <v>0</v>
      </c>
      <c r="K42">
        <f t="shared" si="7"/>
        <v>0</v>
      </c>
      <c r="L42">
        <f t="shared" si="7"/>
        <v>0</v>
      </c>
      <c r="M42">
        <f t="shared" si="7"/>
        <v>0</v>
      </c>
      <c r="N42">
        <f t="shared" si="7"/>
        <v>0</v>
      </c>
      <c r="O42">
        <f t="shared" si="7"/>
        <v>0</v>
      </c>
      <c r="P42">
        <f t="shared" si="7"/>
        <v>0</v>
      </c>
      <c r="Q42">
        <f t="shared" si="7"/>
        <v>0</v>
      </c>
      <c r="R42">
        <f t="shared" si="7"/>
        <v>0</v>
      </c>
      <c r="S42">
        <f t="shared" si="7"/>
        <v>0</v>
      </c>
      <c r="T42">
        <f t="shared" si="7"/>
        <v>0</v>
      </c>
      <c r="U42">
        <f t="shared" si="7"/>
        <v>0</v>
      </c>
      <c r="V42">
        <f t="shared" si="7"/>
        <v>0</v>
      </c>
      <c r="W42">
        <f t="shared" si="7"/>
        <v>0</v>
      </c>
      <c r="X42">
        <f t="shared" si="7"/>
        <v>0</v>
      </c>
      <c r="Y42">
        <f t="shared" si="7"/>
        <v>0</v>
      </c>
      <c r="Z42">
        <f t="shared" si="7"/>
        <v>0</v>
      </c>
      <c r="AA42">
        <f t="shared" si="7"/>
        <v>0</v>
      </c>
      <c r="AB42">
        <f t="shared" si="7"/>
        <v>0</v>
      </c>
      <c r="AC42">
        <f t="shared" si="7"/>
        <v>0</v>
      </c>
      <c r="AD42">
        <f t="shared" si="7"/>
        <v>0</v>
      </c>
      <c r="AE42">
        <f t="shared" si="7"/>
        <v>0</v>
      </c>
      <c r="AF42">
        <f t="shared" si="7"/>
        <v>0</v>
      </c>
      <c r="AG42">
        <f t="shared" si="7"/>
        <v>0</v>
      </c>
      <c r="AH42">
        <f t="shared" si="7"/>
        <v>0</v>
      </c>
      <c r="AI42">
        <f t="shared" si="7"/>
        <v>0</v>
      </c>
      <c r="AJ42">
        <f t="shared" si="7"/>
        <v>0</v>
      </c>
      <c r="AK42">
        <f t="shared" si="7"/>
        <v>0</v>
      </c>
      <c r="AL42">
        <f t="shared" si="7"/>
        <v>0</v>
      </c>
      <c r="AM42">
        <f t="shared" si="7"/>
        <v>0</v>
      </c>
      <c r="AN42">
        <f t="shared" si="7"/>
        <v>0</v>
      </c>
      <c r="AO42">
        <f t="shared" si="7"/>
        <v>0</v>
      </c>
      <c r="AP42">
        <f t="shared" si="7"/>
        <v>0</v>
      </c>
      <c r="AQ42">
        <f t="shared" si="7"/>
        <v>0</v>
      </c>
      <c r="AR42">
        <f t="shared" si="7"/>
        <v>0</v>
      </c>
      <c r="AS42">
        <f t="shared" si="7"/>
        <v>0</v>
      </c>
      <c r="BD42">
        <f t="shared" si="7"/>
        <v>0</v>
      </c>
      <c r="BE42">
        <f t="shared" si="7"/>
        <v>0</v>
      </c>
      <c r="BF42">
        <f t="shared" si="7"/>
        <v>0</v>
      </c>
      <c r="BG42">
        <f t="shared" si="7"/>
        <v>0</v>
      </c>
    </row>
    <row r="43" spans="1:59" hidden="1">
      <c r="A43">
        <f t="shared" si="2"/>
        <v>0</v>
      </c>
      <c r="B43">
        <f t="shared" si="0"/>
        <v>0</v>
      </c>
      <c r="C43">
        <f t="shared" si="7"/>
        <v>0</v>
      </c>
      <c r="D43">
        <f t="shared" si="7"/>
        <v>0</v>
      </c>
      <c r="E43">
        <f t="shared" si="7"/>
        <v>0</v>
      </c>
      <c r="F43">
        <f t="shared" si="7"/>
        <v>0</v>
      </c>
      <c r="G43">
        <f t="shared" si="7"/>
        <v>0</v>
      </c>
      <c r="H43">
        <f t="shared" si="7"/>
        <v>0</v>
      </c>
      <c r="I43">
        <f t="shared" si="7"/>
        <v>0</v>
      </c>
      <c r="J43">
        <f t="shared" si="7"/>
        <v>0</v>
      </c>
      <c r="K43">
        <f t="shared" si="7"/>
        <v>0</v>
      </c>
      <c r="L43">
        <f t="shared" si="7"/>
        <v>0</v>
      </c>
      <c r="M43">
        <f t="shared" si="7"/>
        <v>0</v>
      </c>
      <c r="N43">
        <f t="shared" si="7"/>
        <v>0</v>
      </c>
      <c r="O43">
        <f t="shared" si="7"/>
        <v>0</v>
      </c>
      <c r="P43">
        <f t="shared" si="7"/>
        <v>0</v>
      </c>
      <c r="Q43">
        <f t="shared" si="7"/>
        <v>0</v>
      </c>
      <c r="R43">
        <f t="shared" si="7"/>
        <v>0</v>
      </c>
      <c r="S43">
        <f t="shared" si="7"/>
        <v>0</v>
      </c>
      <c r="T43">
        <f t="shared" si="7"/>
        <v>0</v>
      </c>
      <c r="U43">
        <f t="shared" si="7"/>
        <v>0</v>
      </c>
      <c r="V43">
        <f t="shared" si="7"/>
        <v>0</v>
      </c>
      <c r="W43">
        <f t="shared" si="7"/>
        <v>0</v>
      </c>
      <c r="X43">
        <f t="shared" si="7"/>
        <v>0</v>
      </c>
      <c r="Y43">
        <f t="shared" si="7"/>
        <v>0</v>
      </c>
      <c r="Z43">
        <f t="shared" si="7"/>
        <v>0</v>
      </c>
      <c r="AA43">
        <f t="shared" si="7"/>
        <v>0</v>
      </c>
      <c r="AB43">
        <f t="shared" si="7"/>
        <v>0</v>
      </c>
      <c r="AC43">
        <f t="shared" si="7"/>
        <v>0</v>
      </c>
      <c r="AD43">
        <f t="shared" si="7"/>
        <v>0</v>
      </c>
      <c r="AE43">
        <f t="shared" si="7"/>
        <v>0</v>
      </c>
      <c r="AF43">
        <f t="shared" si="7"/>
        <v>0</v>
      </c>
      <c r="AG43">
        <f t="shared" si="7"/>
        <v>0</v>
      </c>
      <c r="AH43">
        <f t="shared" si="7"/>
        <v>0</v>
      </c>
      <c r="AI43">
        <f t="shared" si="7"/>
        <v>0</v>
      </c>
      <c r="AJ43">
        <f t="shared" si="7"/>
        <v>0</v>
      </c>
      <c r="AK43">
        <f t="shared" si="7"/>
        <v>0</v>
      </c>
      <c r="AL43">
        <f t="shared" si="7"/>
        <v>0</v>
      </c>
      <c r="AM43">
        <f t="shared" si="7"/>
        <v>0</v>
      </c>
      <c r="AN43">
        <f t="shared" si="7"/>
        <v>0</v>
      </c>
      <c r="AO43">
        <f t="shared" si="7"/>
        <v>0</v>
      </c>
      <c r="AP43">
        <f t="shared" si="7"/>
        <v>0</v>
      </c>
      <c r="AQ43">
        <f t="shared" si="7"/>
        <v>0</v>
      </c>
      <c r="AR43">
        <f t="shared" si="7"/>
        <v>0</v>
      </c>
      <c r="AS43">
        <f t="shared" si="7"/>
        <v>0</v>
      </c>
      <c r="BD43">
        <f t="shared" si="7"/>
        <v>0</v>
      </c>
      <c r="BE43">
        <f t="shared" si="7"/>
        <v>0</v>
      </c>
      <c r="BF43">
        <f t="shared" si="7"/>
        <v>0</v>
      </c>
      <c r="BG43">
        <f t="shared" si="7"/>
        <v>0</v>
      </c>
    </row>
    <row r="44" spans="1:59" hidden="1">
      <c r="A44">
        <f t="shared" si="2"/>
        <v>0</v>
      </c>
      <c r="B44">
        <f t="shared" si="0"/>
        <v>0</v>
      </c>
      <c r="C44">
        <f t="shared" si="7"/>
        <v>0</v>
      </c>
      <c r="D44">
        <f t="shared" si="7"/>
        <v>0</v>
      </c>
      <c r="E44">
        <f t="shared" si="7"/>
        <v>0</v>
      </c>
      <c r="F44">
        <f t="shared" si="7"/>
        <v>0</v>
      </c>
      <c r="G44">
        <f t="shared" si="7"/>
        <v>0</v>
      </c>
      <c r="H44">
        <f t="shared" si="7"/>
        <v>0</v>
      </c>
      <c r="I44">
        <f t="shared" si="7"/>
        <v>0</v>
      </c>
      <c r="J44">
        <f t="shared" si="7"/>
        <v>0</v>
      </c>
      <c r="K44">
        <f t="shared" si="7"/>
        <v>0</v>
      </c>
      <c r="L44">
        <f t="shared" si="7"/>
        <v>0</v>
      </c>
      <c r="M44">
        <f t="shared" si="7"/>
        <v>0</v>
      </c>
      <c r="N44">
        <f t="shared" si="7"/>
        <v>0</v>
      </c>
      <c r="O44">
        <f t="shared" si="7"/>
        <v>0</v>
      </c>
      <c r="P44">
        <f t="shared" si="7"/>
        <v>0</v>
      </c>
      <c r="Q44">
        <f t="shared" si="7"/>
        <v>0</v>
      </c>
      <c r="R44">
        <f t="shared" si="7"/>
        <v>0</v>
      </c>
      <c r="S44">
        <f t="shared" si="7"/>
        <v>0</v>
      </c>
      <c r="T44">
        <f t="shared" si="7"/>
        <v>0</v>
      </c>
      <c r="U44">
        <f t="shared" si="7"/>
        <v>0</v>
      </c>
      <c r="V44">
        <f t="shared" si="7"/>
        <v>0</v>
      </c>
      <c r="W44">
        <f t="shared" si="7"/>
        <v>0</v>
      </c>
      <c r="X44">
        <f t="shared" si="7"/>
        <v>0</v>
      </c>
      <c r="Y44">
        <f t="shared" si="7"/>
        <v>0</v>
      </c>
      <c r="Z44">
        <f t="shared" si="7"/>
        <v>0</v>
      </c>
      <c r="AA44">
        <f t="shared" si="7"/>
        <v>0</v>
      </c>
      <c r="AB44">
        <f t="shared" si="7"/>
        <v>0</v>
      </c>
      <c r="AC44">
        <f t="shared" si="7"/>
        <v>0</v>
      </c>
      <c r="AD44">
        <f t="shared" si="7"/>
        <v>0</v>
      </c>
      <c r="AE44">
        <f t="shared" si="7"/>
        <v>0</v>
      </c>
      <c r="AF44">
        <f t="shared" si="7"/>
        <v>0</v>
      </c>
      <c r="AG44">
        <f t="shared" si="7"/>
        <v>0</v>
      </c>
      <c r="AH44">
        <f t="shared" si="7"/>
        <v>0</v>
      </c>
      <c r="AI44">
        <f t="shared" si="7"/>
        <v>0</v>
      </c>
      <c r="AJ44">
        <f t="shared" si="7"/>
        <v>0</v>
      </c>
      <c r="AK44">
        <f t="shared" si="7"/>
        <v>0</v>
      </c>
      <c r="AL44">
        <f t="shared" si="7"/>
        <v>0</v>
      </c>
      <c r="AM44">
        <f t="shared" si="7"/>
        <v>0</v>
      </c>
      <c r="AN44">
        <f t="shared" si="7"/>
        <v>0</v>
      </c>
      <c r="AO44">
        <f t="shared" si="7"/>
        <v>0</v>
      </c>
      <c r="AP44">
        <f t="shared" si="7"/>
        <v>0</v>
      </c>
      <c r="AQ44">
        <f t="shared" si="7"/>
        <v>0</v>
      </c>
      <c r="AR44">
        <f t="shared" si="7"/>
        <v>0</v>
      </c>
      <c r="AS44">
        <f t="shared" si="7"/>
        <v>0</v>
      </c>
      <c r="BD44">
        <f t="shared" si="7"/>
        <v>0</v>
      </c>
      <c r="BE44">
        <f t="shared" si="7"/>
        <v>0</v>
      </c>
      <c r="BF44">
        <f t="shared" si="7"/>
        <v>0</v>
      </c>
      <c r="BG44">
        <f t="shared" si="7"/>
        <v>0</v>
      </c>
    </row>
    <row r="45" spans="1:59" hidden="1">
      <c r="A45">
        <f t="shared" si="2"/>
        <v>0</v>
      </c>
      <c r="B45">
        <f t="shared" si="0"/>
        <v>0</v>
      </c>
      <c r="C45">
        <f t="shared" si="7"/>
        <v>0</v>
      </c>
      <c r="D45">
        <f t="shared" si="7"/>
        <v>0</v>
      </c>
      <c r="E45">
        <f t="shared" si="7"/>
        <v>0</v>
      </c>
      <c r="F45">
        <f t="shared" si="7"/>
        <v>0</v>
      </c>
      <c r="G45">
        <f t="shared" si="7"/>
        <v>0</v>
      </c>
      <c r="H45">
        <f t="shared" si="7"/>
        <v>0</v>
      </c>
      <c r="I45">
        <f t="shared" si="7"/>
        <v>0</v>
      </c>
      <c r="J45">
        <f t="shared" si="7"/>
        <v>0</v>
      </c>
      <c r="K45">
        <f t="shared" si="7"/>
        <v>0</v>
      </c>
      <c r="L45">
        <f t="shared" si="7"/>
        <v>0</v>
      </c>
      <c r="M45">
        <f t="shared" si="7"/>
        <v>0</v>
      </c>
      <c r="N45">
        <f t="shared" si="7"/>
        <v>0</v>
      </c>
      <c r="O45">
        <f t="shared" si="7"/>
        <v>0</v>
      </c>
      <c r="P45">
        <f t="shared" si="7"/>
        <v>0</v>
      </c>
      <c r="Q45">
        <f t="shared" si="7"/>
        <v>0</v>
      </c>
      <c r="R45">
        <f t="shared" si="7"/>
        <v>0</v>
      </c>
      <c r="S45">
        <f t="shared" si="7"/>
        <v>0</v>
      </c>
      <c r="T45">
        <f t="shared" si="7"/>
        <v>0</v>
      </c>
      <c r="U45">
        <f t="shared" si="7"/>
        <v>0</v>
      </c>
      <c r="V45">
        <f t="shared" si="7"/>
        <v>0</v>
      </c>
      <c r="W45">
        <f t="shared" si="7"/>
        <v>0</v>
      </c>
      <c r="X45">
        <f t="shared" si="7"/>
        <v>0</v>
      </c>
      <c r="Y45">
        <f t="shared" si="7"/>
        <v>0</v>
      </c>
      <c r="Z45">
        <f t="shared" si="7"/>
        <v>0</v>
      </c>
      <c r="AA45">
        <f t="shared" si="7"/>
        <v>0</v>
      </c>
      <c r="AB45">
        <f t="shared" si="7"/>
        <v>0</v>
      </c>
      <c r="AC45">
        <f t="shared" si="7"/>
        <v>0</v>
      </c>
      <c r="AD45">
        <f t="shared" si="7"/>
        <v>0</v>
      </c>
      <c r="AE45">
        <f t="shared" si="7"/>
        <v>0</v>
      </c>
      <c r="AF45">
        <f t="shared" si="7"/>
        <v>0</v>
      </c>
      <c r="AG45">
        <f t="shared" si="7"/>
        <v>0</v>
      </c>
      <c r="AH45">
        <f t="shared" si="7"/>
        <v>0</v>
      </c>
      <c r="AI45">
        <f t="shared" si="7"/>
        <v>0</v>
      </c>
      <c r="AJ45">
        <f t="shared" si="7"/>
        <v>0</v>
      </c>
      <c r="AK45">
        <f t="shared" si="7"/>
        <v>0</v>
      </c>
      <c r="AL45">
        <f t="shared" si="7"/>
        <v>0</v>
      </c>
      <c r="AM45">
        <f t="shared" si="7"/>
        <v>0</v>
      </c>
      <c r="AN45">
        <f t="shared" si="7"/>
        <v>0</v>
      </c>
      <c r="AO45">
        <f t="shared" si="7"/>
        <v>0</v>
      </c>
      <c r="AP45">
        <f t="shared" ref="C45:BG50" si="8">IF(AP17&gt;0,1,0)</f>
        <v>0</v>
      </c>
      <c r="AQ45">
        <f t="shared" si="8"/>
        <v>0</v>
      </c>
      <c r="AR45">
        <f t="shared" si="8"/>
        <v>0</v>
      </c>
      <c r="AS45">
        <f t="shared" si="8"/>
        <v>0</v>
      </c>
      <c r="BD45">
        <f t="shared" si="8"/>
        <v>0</v>
      </c>
      <c r="BE45">
        <f t="shared" si="8"/>
        <v>0</v>
      </c>
      <c r="BF45">
        <f t="shared" si="8"/>
        <v>0</v>
      </c>
      <c r="BG45">
        <f t="shared" si="8"/>
        <v>0</v>
      </c>
    </row>
    <row r="46" spans="1:59" hidden="1">
      <c r="A46">
        <f t="shared" si="2"/>
        <v>0</v>
      </c>
      <c r="B46">
        <f t="shared" si="0"/>
        <v>0</v>
      </c>
      <c r="C46">
        <f t="shared" si="8"/>
        <v>0</v>
      </c>
      <c r="D46">
        <f t="shared" si="8"/>
        <v>0</v>
      </c>
      <c r="E46">
        <f t="shared" si="8"/>
        <v>0</v>
      </c>
      <c r="F46">
        <f t="shared" si="8"/>
        <v>0</v>
      </c>
      <c r="G46">
        <f t="shared" si="8"/>
        <v>0</v>
      </c>
      <c r="H46">
        <f t="shared" si="8"/>
        <v>0</v>
      </c>
      <c r="I46">
        <f t="shared" si="8"/>
        <v>0</v>
      </c>
      <c r="J46">
        <f t="shared" si="8"/>
        <v>0</v>
      </c>
      <c r="K46">
        <f t="shared" si="8"/>
        <v>0</v>
      </c>
      <c r="L46">
        <f t="shared" si="8"/>
        <v>0</v>
      </c>
      <c r="M46">
        <f t="shared" si="8"/>
        <v>0</v>
      </c>
      <c r="N46">
        <f t="shared" si="8"/>
        <v>0</v>
      </c>
      <c r="O46">
        <f t="shared" si="8"/>
        <v>0</v>
      </c>
      <c r="P46">
        <f t="shared" si="8"/>
        <v>0</v>
      </c>
      <c r="Q46">
        <f t="shared" si="8"/>
        <v>0</v>
      </c>
      <c r="R46">
        <f t="shared" si="8"/>
        <v>0</v>
      </c>
      <c r="S46">
        <f t="shared" si="8"/>
        <v>0</v>
      </c>
      <c r="T46">
        <f t="shared" si="8"/>
        <v>0</v>
      </c>
      <c r="U46">
        <f t="shared" si="8"/>
        <v>0</v>
      </c>
      <c r="V46">
        <f t="shared" si="8"/>
        <v>0</v>
      </c>
      <c r="W46">
        <f t="shared" si="8"/>
        <v>0</v>
      </c>
      <c r="X46">
        <f t="shared" si="8"/>
        <v>0</v>
      </c>
      <c r="Y46">
        <f t="shared" si="8"/>
        <v>0</v>
      </c>
      <c r="Z46">
        <f t="shared" si="8"/>
        <v>0</v>
      </c>
      <c r="AA46">
        <f t="shared" si="8"/>
        <v>0</v>
      </c>
      <c r="AB46">
        <f t="shared" si="8"/>
        <v>0</v>
      </c>
      <c r="AC46">
        <f t="shared" si="8"/>
        <v>0</v>
      </c>
      <c r="AD46">
        <f t="shared" si="8"/>
        <v>0</v>
      </c>
      <c r="AE46">
        <f t="shared" si="8"/>
        <v>0</v>
      </c>
      <c r="AF46">
        <f t="shared" si="8"/>
        <v>0</v>
      </c>
      <c r="AG46">
        <f t="shared" si="8"/>
        <v>0</v>
      </c>
      <c r="AH46">
        <f t="shared" si="8"/>
        <v>0</v>
      </c>
      <c r="AI46">
        <f t="shared" si="8"/>
        <v>0</v>
      </c>
      <c r="AJ46">
        <f t="shared" si="8"/>
        <v>0</v>
      </c>
      <c r="AK46">
        <f t="shared" si="8"/>
        <v>0</v>
      </c>
      <c r="AL46">
        <f t="shared" si="8"/>
        <v>0</v>
      </c>
      <c r="AM46">
        <f t="shared" si="8"/>
        <v>0</v>
      </c>
      <c r="AN46">
        <f t="shared" si="8"/>
        <v>0</v>
      </c>
      <c r="AO46">
        <f t="shared" si="8"/>
        <v>0</v>
      </c>
      <c r="AP46">
        <f t="shared" si="8"/>
        <v>0</v>
      </c>
      <c r="AQ46">
        <f t="shared" si="8"/>
        <v>0</v>
      </c>
      <c r="AR46">
        <f t="shared" si="8"/>
        <v>0</v>
      </c>
      <c r="AS46">
        <f t="shared" si="8"/>
        <v>0</v>
      </c>
      <c r="BD46">
        <f t="shared" si="8"/>
        <v>0</v>
      </c>
      <c r="BE46">
        <f t="shared" si="8"/>
        <v>0</v>
      </c>
      <c r="BF46">
        <f t="shared" si="8"/>
        <v>0</v>
      </c>
      <c r="BG46">
        <f t="shared" si="8"/>
        <v>0</v>
      </c>
    </row>
    <row r="47" spans="1:59" hidden="1">
      <c r="A47">
        <f t="shared" si="2"/>
        <v>0</v>
      </c>
      <c r="B47">
        <f t="shared" si="0"/>
        <v>0</v>
      </c>
      <c r="C47">
        <f t="shared" si="8"/>
        <v>0</v>
      </c>
      <c r="D47">
        <f t="shared" si="8"/>
        <v>0</v>
      </c>
      <c r="E47">
        <f t="shared" si="8"/>
        <v>0</v>
      </c>
      <c r="F47">
        <f t="shared" si="8"/>
        <v>0</v>
      </c>
      <c r="G47">
        <f t="shared" si="8"/>
        <v>0</v>
      </c>
      <c r="H47">
        <f t="shared" si="8"/>
        <v>0</v>
      </c>
      <c r="I47">
        <f t="shared" si="8"/>
        <v>0</v>
      </c>
      <c r="J47">
        <f t="shared" si="8"/>
        <v>0</v>
      </c>
      <c r="K47">
        <f t="shared" si="8"/>
        <v>0</v>
      </c>
      <c r="L47">
        <f t="shared" si="8"/>
        <v>0</v>
      </c>
      <c r="M47">
        <f t="shared" si="8"/>
        <v>0</v>
      </c>
      <c r="N47">
        <f t="shared" si="8"/>
        <v>0</v>
      </c>
      <c r="O47">
        <f t="shared" si="8"/>
        <v>0</v>
      </c>
      <c r="P47">
        <f t="shared" si="8"/>
        <v>0</v>
      </c>
      <c r="Q47">
        <f t="shared" si="8"/>
        <v>0</v>
      </c>
      <c r="R47">
        <f t="shared" si="8"/>
        <v>0</v>
      </c>
      <c r="S47">
        <f t="shared" si="8"/>
        <v>0</v>
      </c>
      <c r="T47">
        <f t="shared" si="8"/>
        <v>0</v>
      </c>
      <c r="U47">
        <f t="shared" si="8"/>
        <v>0</v>
      </c>
      <c r="V47">
        <f t="shared" si="8"/>
        <v>0</v>
      </c>
      <c r="W47">
        <f t="shared" si="8"/>
        <v>0</v>
      </c>
      <c r="X47">
        <f t="shared" si="8"/>
        <v>0</v>
      </c>
      <c r="Y47">
        <f t="shared" si="8"/>
        <v>0</v>
      </c>
      <c r="Z47">
        <f t="shared" si="8"/>
        <v>0</v>
      </c>
      <c r="AA47">
        <f t="shared" si="8"/>
        <v>0</v>
      </c>
      <c r="AB47">
        <f t="shared" si="8"/>
        <v>0</v>
      </c>
      <c r="AC47">
        <f t="shared" si="8"/>
        <v>0</v>
      </c>
      <c r="AD47">
        <f t="shared" si="8"/>
        <v>0</v>
      </c>
      <c r="AE47">
        <f t="shared" si="8"/>
        <v>0</v>
      </c>
      <c r="AF47">
        <f t="shared" si="8"/>
        <v>0</v>
      </c>
      <c r="AG47">
        <f t="shared" si="8"/>
        <v>0</v>
      </c>
      <c r="AH47">
        <f t="shared" si="8"/>
        <v>0</v>
      </c>
      <c r="AI47">
        <f t="shared" si="8"/>
        <v>0</v>
      </c>
      <c r="AJ47">
        <f t="shared" si="8"/>
        <v>0</v>
      </c>
      <c r="AK47">
        <f t="shared" si="8"/>
        <v>0</v>
      </c>
      <c r="AL47">
        <f t="shared" si="8"/>
        <v>0</v>
      </c>
      <c r="AM47">
        <f t="shared" si="8"/>
        <v>0</v>
      </c>
      <c r="AN47">
        <f t="shared" si="8"/>
        <v>0</v>
      </c>
      <c r="AO47">
        <f t="shared" si="8"/>
        <v>0</v>
      </c>
      <c r="AP47">
        <f t="shared" si="8"/>
        <v>0</v>
      </c>
      <c r="AQ47">
        <f t="shared" si="8"/>
        <v>0</v>
      </c>
      <c r="AR47">
        <f t="shared" si="8"/>
        <v>0</v>
      </c>
      <c r="AS47">
        <f t="shared" si="8"/>
        <v>0</v>
      </c>
      <c r="BD47">
        <f t="shared" si="8"/>
        <v>0</v>
      </c>
      <c r="BE47">
        <f t="shared" si="8"/>
        <v>0</v>
      </c>
      <c r="BF47">
        <f t="shared" si="8"/>
        <v>0</v>
      </c>
      <c r="BG47">
        <f t="shared" si="8"/>
        <v>0</v>
      </c>
    </row>
    <row r="48" spans="1:59" hidden="1">
      <c r="A48">
        <f t="shared" si="2"/>
        <v>0</v>
      </c>
      <c r="B48">
        <f t="shared" si="0"/>
        <v>0</v>
      </c>
      <c r="C48">
        <f t="shared" si="8"/>
        <v>0</v>
      </c>
      <c r="D48">
        <f t="shared" si="8"/>
        <v>0</v>
      </c>
      <c r="E48">
        <f t="shared" si="8"/>
        <v>0</v>
      </c>
      <c r="F48">
        <f t="shared" si="8"/>
        <v>0</v>
      </c>
      <c r="G48">
        <f t="shared" si="8"/>
        <v>0</v>
      </c>
      <c r="H48">
        <f t="shared" si="8"/>
        <v>0</v>
      </c>
      <c r="I48">
        <f t="shared" si="8"/>
        <v>0</v>
      </c>
      <c r="J48">
        <f t="shared" si="8"/>
        <v>0</v>
      </c>
      <c r="K48">
        <f t="shared" si="8"/>
        <v>0</v>
      </c>
      <c r="L48">
        <f t="shared" si="8"/>
        <v>0</v>
      </c>
      <c r="M48">
        <f t="shared" si="8"/>
        <v>0</v>
      </c>
      <c r="N48">
        <f t="shared" si="8"/>
        <v>0</v>
      </c>
      <c r="O48">
        <f t="shared" si="8"/>
        <v>0</v>
      </c>
      <c r="P48">
        <f t="shared" si="8"/>
        <v>0</v>
      </c>
      <c r="Q48">
        <f t="shared" si="8"/>
        <v>0</v>
      </c>
      <c r="R48">
        <f t="shared" si="8"/>
        <v>0</v>
      </c>
      <c r="S48">
        <f t="shared" si="8"/>
        <v>0</v>
      </c>
      <c r="T48">
        <f t="shared" si="8"/>
        <v>0</v>
      </c>
      <c r="U48">
        <f t="shared" si="8"/>
        <v>0</v>
      </c>
      <c r="V48">
        <f t="shared" si="8"/>
        <v>0</v>
      </c>
      <c r="W48">
        <f t="shared" si="8"/>
        <v>0</v>
      </c>
      <c r="X48">
        <f t="shared" si="8"/>
        <v>0</v>
      </c>
      <c r="Y48">
        <f t="shared" si="8"/>
        <v>0</v>
      </c>
      <c r="Z48">
        <f t="shared" si="8"/>
        <v>0</v>
      </c>
      <c r="AA48">
        <f t="shared" si="8"/>
        <v>0</v>
      </c>
      <c r="AB48">
        <f t="shared" si="8"/>
        <v>0</v>
      </c>
      <c r="AC48">
        <f t="shared" si="8"/>
        <v>0</v>
      </c>
      <c r="AD48">
        <f t="shared" si="8"/>
        <v>0</v>
      </c>
      <c r="AE48">
        <f t="shared" si="8"/>
        <v>0</v>
      </c>
      <c r="AF48">
        <f t="shared" si="8"/>
        <v>0</v>
      </c>
      <c r="AG48">
        <f t="shared" si="8"/>
        <v>0</v>
      </c>
      <c r="AH48">
        <f t="shared" si="8"/>
        <v>0</v>
      </c>
      <c r="AI48">
        <f t="shared" si="8"/>
        <v>0</v>
      </c>
      <c r="AJ48">
        <f t="shared" si="8"/>
        <v>0</v>
      </c>
      <c r="AK48">
        <f t="shared" si="8"/>
        <v>0</v>
      </c>
      <c r="AL48">
        <f t="shared" si="8"/>
        <v>0</v>
      </c>
      <c r="AM48">
        <f t="shared" si="8"/>
        <v>0</v>
      </c>
      <c r="AN48">
        <f t="shared" si="8"/>
        <v>0</v>
      </c>
      <c r="AO48">
        <f t="shared" si="8"/>
        <v>0</v>
      </c>
      <c r="AP48">
        <f t="shared" si="8"/>
        <v>0</v>
      </c>
      <c r="AQ48">
        <f t="shared" si="8"/>
        <v>0</v>
      </c>
      <c r="AR48">
        <f t="shared" si="8"/>
        <v>0</v>
      </c>
      <c r="AS48">
        <f t="shared" si="8"/>
        <v>0</v>
      </c>
      <c r="BD48">
        <f t="shared" si="8"/>
        <v>0</v>
      </c>
      <c r="BE48">
        <f t="shared" si="8"/>
        <v>0</v>
      </c>
      <c r="BF48">
        <f t="shared" si="8"/>
        <v>0</v>
      </c>
      <c r="BG48">
        <f t="shared" si="8"/>
        <v>0</v>
      </c>
    </row>
    <row r="49" spans="1:59" hidden="1">
      <c r="A49">
        <f t="shared" si="2"/>
        <v>0</v>
      </c>
      <c r="B49">
        <f t="shared" si="0"/>
        <v>0</v>
      </c>
      <c r="C49">
        <f t="shared" si="8"/>
        <v>0</v>
      </c>
      <c r="D49">
        <f t="shared" si="8"/>
        <v>0</v>
      </c>
      <c r="E49">
        <f t="shared" si="8"/>
        <v>0</v>
      </c>
      <c r="F49">
        <f t="shared" si="8"/>
        <v>0</v>
      </c>
      <c r="G49">
        <f t="shared" si="8"/>
        <v>0</v>
      </c>
      <c r="H49">
        <f t="shared" si="8"/>
        <v>0</v>
      </c>
      <c r="I49">
        <f t="shared" si="8"/>
        <v>0</v>
      </c>
      <c r="J49">
        <f t="shared" si="8"/>
        <v>0</v>
      </c>
      <c r="K49">
        <f t="shared" si="8"/>
        <v>0</v>
      </c>
      <c r="L49">
        <f t="shared" si="8"/>
        <v>0</v>
      </c>
      <c r="M49">
        <f t="shared" si="8"/>
        <v>0</v>
      </c>
      <c r="N49">
        <f t="shared" si="8"/>
        <v>0</v>
      </c>
      <c r="O49">
        <f t="shared" si="8"/>
        <v>0</v>
      </c>
      <c r="P49">
        <f t="shared" si="8"/>
        <v>0</v>
      </c>
      <c r="Q49">
        <f t="shared" si="8"/>
        <v>0</v>
      </c>
      <c r="R49">
        <f t="shared" si="8"/>
        <v>0</v>
      </c>
      <c r="S49">
        <f t="shared" si="8"/>
        <v>0</v>
      </c>
      <c r="T49">
        <f t="shared" si="8"/>
        <v>0</v>
      </c>
      <c r="U49">
        <f t="shared" si="8"/>
        <v>0</v>
      </c>
      <c r="V49">
        <f t="shared" si="8"/>
        <v>0</v>
      </c>
      <c r="W49">
        <f t="shared" si="8"/>
        <v>0</v>
      </c>
      <c r="X49">
        <f t="shared" si="8"/>
        <v>0</v>
      </c>
      <c r="Y49">
        <f t="shared" si="8"/>
        <v>0</v>
      </c>
      <c r="Z49">
        <f t="shared" si="8"/>
        <v>0</v>
      </c>
      <c r="AA49">
        <f t="shared" si="8"/>
        <v>0</v>
      </c>
      <c r="AB49">
        <f t="shared" si="8"/>
        <v>0</v>
      </c>
      <c r="AC49">
        <f t="shared" si="8"/>
        <v>0</v>
      </c>
      <c r="AD49">
        <f t="shared" si="8"/>
        <v>0</v>
      </c>
      <c r="AE49">
        <f t="shared" si="8"/>
        <v>0</v>
      </c>
      <c r="AF49">
        <f t="shared" si="8"/>
        <v>0</v>
      </c>
      <c r="AG49">
        <f t="shared" si="8"/>
        <v>0</v>
      </c>
      <c r="AH49">
        <f t="shared" si="8"/>
        <v>0</v>
      </c>
      <c r="AI49">
        <f t="shared" si="8"/>
        <v>0</v>
      </c>
      <c r="AJ49">
        <f t="shared" si="8"/>
        <v>0</v>
      </c>
      <c r="AK49">
        <f t="shared" si="8"/>
        <v>0</v>
      </c>
      <c r="AL49">
        <f t="shared" si="8"/>
        <v>0</v>
      </c>
      <c r="AM49">
        <f t="shared" si="8"/>
        <v>0</v>
      </c>
      <c r="AN49">
        <f t="shared" si="8"/>
        <v>0</v>
      </c>
      <c r="AO49">
        <f t="shared" si="8"/>
        <v>0</v>
      </c>
      <c r="AP49">
        <f t="shared" si="8"/>
        <v>0</v>
      </c>
      <c r="AQ49">
        <f t="shared" si="8"/>
        <v>0</v>
      </c>
      <c r="AR49">
        <f t="shared" si="8"/>
        <v>0</v>
      </c>
      <c r="AS49">
        <f t="shared" si="8"/>
        <v>0</v>
      </c>
      <c r="BD49">
        <f t="shared" si="8"/>
        <v>0</v>
      </c>
      <c r="BE49">
        <f t="shared" si="8"/>
        <v>0</v>
      </c>
      <c r="BF49">
        <f t="shared" si="8"/>
        <v>0</v>
      </c>
      <c r="BG49">
        <f t="shared" si="8"/>
        <v>0</v>
      </c>
    </row>
    <row r="50" spans="1:59" hidden="1">
      <c r="A50">
        <f t="shared" si="2"/>
        <v>0</v>
      </c>
      <c r="B50">
        <f t="shared" si="0"/>
        <v>0</v>
      </c>
      <c r="C50">
        <f t="shared" si="8"/>
        <v>0</v>
      </c>
      <c r="D50">
        <f t="shared" si="8"/>
        <v>0</v>
      </c>
      <c r="E50">
        <f t="shared" si="8"/>
        <v>0</v>
      </c>
      <c r="F50">
        <f t="shared" si="8"/>
        <v>0</v>
      </c>
      <c r="G50">
        <f t="shared" si="8"/>
        <v>0</v>
      </c>
      <c r="H50">
        <f t="shared" si="8"/>
        <v>0</v>
      </c>
      <c r="I50">
        <f t="shared" si="8"/>
        <v>0</v>
      </c>
      <c r="J50">
        <f t="shared" si="8"/>
        <v>0</v>
      </c>
      <c r="K50">
        <f t="shared" si="8"/>
        <v>0</v>
      </c>
      <c r="L50">
        <f t="shared" ref="C50:BG54" si="9">IF(L22&gt;0,1,0)</f>
        <v>0</v>
      </c>
      <c r="M50">
        <f t="shared" si="9"/>
        <v>0</v>
      </c>
      <c r="N50">
        <f t="shared" si="9"/>
        <v>0</v>
      </c>
      <c r="O50">
        <f t="shared" si="9"/>
        <v>0</v>
      </c>
      <c r="P50">
        <f t="shared" si="9"/>
        <v>0</v>
      </c>
      <c r="Q50">
        <f t="shared" si="9"/>
        <v>0</v>
      </c>
      <c r="R50">
        <f t="shared" si="9"/>
        <v>0</v>
      </c>
      <c r="S50">
        <f t="shared" si="9"/>
        <v>0</v>
      </c>
      <c r="T50">
        <f t="shared" si="9"/>
        <v>0</v>
      </c>
      <c r="U50">
        <f t="shared" si="9"/>
        <v>0</v>
      </c>
      <c r="V50">
        <f t="shared" si="9"/>
        <v>0</v>
      </c>
      <c r="W50">
        <f t="shared" si="9"/>
        <v>0</v>
      </c>
      <c r="X50">
        <f t="shared" si="9"/>
        <v>0</v>
      </c>
      <c r="Y50">
        <f t="shared" si="9"/>
        <v>0</v>
      </c>
      <c r="Z50">
        <f t="shared" si="9"/>
        <v>0</v>
      </c>
      <c r="AA50">
        <f t="shared" si="9"/>
        <v>0</v>
      </c>
      <c r="AB50">
        <f t="shared" si="9"/>
        <v>0</v>
      </c>
      <c r="AC50">
        <f t="shared" si="9"/>
        <v>0</v>
      </c>
      <c r="AD50">
        <f t="shared" si="9"/>
        <v>0</v>
      </c>
      <c r="AE50">
        <f t="shared" si="9"/>
        <v>0</v>
      </c>
      <c r="AF50">
        <f t="shared" si="9"/>
        <v>0</v>
      </c>
      <c r="AG50">
        <f t="shared" si="9"/>
        <v>0</v>
      </c>
      <c r="AH50">
        <f t="shared" si="9"/>
        <v>0</v>
      </c>
      <c r="AI50">
        <f t="shared" si="9"/>
        <v>0</v>
      </c>
      <c r="AJ50">
        <f t="shared" si="9"/>
        <v>0</v>
      </c>
      <c r="AK50">
        <f t="shared" si="9"/>
        <v>0</v>
      </c>
      <c r="AL50">
        <f t="shared" si="9"/>
        <v>0</v>
      </c>
      <c r="AM50">
        <f t="shared" si="9"/>
        <v>0</v>
      </c>
      <c r="AN50">
        <f t="shared" si="9"/>
        <v>0</v>
      </c>
      <c r="AO50">
        <f t="shared" si="9"/>
        <v>0</v>
      </c>
      <c r="AP50">
        <f t="shared" si="9"/>
        <v>0</v>
      </c>
      <c r="AQ50">
        <f t="shared" si="9"/>
        <v>0</v>
      </c>
      <c r="AR50">
        <f t="shared" si="9"/>
        <v>0</v>
      </c>
      <c r="AS50">
        <f t="shared" si="9"/>
        <v>0</v>
      </c>
      <c r="BD50">
        <f t="shared" si="9"/>
        <v>0</v>
      </c>
      <c r="BE50">
        <f t="shared" si="9"/>
        <v>0</v>
      </c>
      <c r="BF50">
        <f t="shared" si="9"/>
        <v>0</v>
      </c>
      <c r="BG50">
        <f t="shared" si="9"/>
        <v>0</v>
      </c>
    </row>
    <row r="51" spans="1:59" hidden="1">
      <c r="A51">
        <f t="shared" si="2"/>
        <v>0</v>
      </c>
      <c r="B51">
        <f t="shared" si="0"/>
        <v>0</v>
      </c>
      <c r="C51">
        <f t="shared" si="9"/>
        <v>0</v>
      </c>
      <c r="D51">
        <f t="shared" si="9"/>
        <v>0</v>
      </c>
      <c r="E51">
        <f t="shared" si="9"/>
        <v>0</v>
      </c>
      <c r="F51">
        <f t="shared" si="9"/>
        <v>0</v>
      </c>
      <c r="G51">
        <f t="shared" si="9"/>
        <v>0</v>
      </c>
      <c r="H51">
        <f t="shared" si="9"/>
        <v>0</v>
      </c>
      <c r="I51">
        <f t="shared" si="9"/>
        <v>0</v>
      </c>
      <c r="J51">
        <f t="shared" si="9"/>
        <v>0</v>
      </c>
      <c r="K51">
        <f t="shared" si="9"/>
        <v>0</v>
      </c>
      <c r="L51">
        <f t="shared" si="9"/>
        <v>0</v>
      </c>
      <c r="M51">
        <f t="shared" si="9"/>
        <v>0</v>
      </c>
      <c r="N51">
        <f t="shared" si="9"/>
        <v>0</v>
      </c>
      <c r="O51">
        <f t="shared" si="9"/>
        <v>0</v>
      </c>
      <c r="P51">
        <f t="shared" si="9"/>
        <v>0</v>
      </c>
      <c r="Q51">
        <f t="shared" si="9"/>
        <v>0</v>
      </c>
      <c r="R51">
        <f t="shared" si="9"/>
        <v>0</v>
      </c>
      <c r="S51">
        <f t="shared" si="9"/>
        <v>0</v>
      </c>
      <c r="T51">
        <f t="shared" si="9"/>
        <v>0</v>
      </c>
      <c r="U51">
        <f t="shared" si="9"/>
        <v>0</v>
      </c>
      <c r="V51">
        <f t="shared" si="9"/>
        <v>0</v>
      </c>
      <c r="W51">
        <f t="shared" si="9"/>
        <v>0</v>
      </c>
      <c r="X51">
        <f t="shared" si="9"/>
        <v>0</v>
      </c>
      <c r="Y51">
        <f t="shared" si="9"/>
        <v>0</v>
      </c>
      <c r="Z51">
        <f t="shared" si="9"/>
        <v>0</v>
      </c>
      <c r="AA51">
        <f t="shared" si="9"/>
        <v>0</v>
      </c>
      <c r="AB51">
        <f t="shared" si="9"/>
        <v>0</v>
      </c>
      <c r="AC51">
        <f t="shared" si="9"/>
        <v>0</v>
      </c>
      <c r="AD51">
        <f t="shared" si="9"/>
        <v>0</v>
      </c>
      <c r="AE51">
        <f t="shared" si="9"/>
        <v>0</v>
      </c>
      <c r="AF51">
        <f t="shared" si="9"/>
        <v>0</v>
      </c>
      <c r="AG51">
        <f t="shared" si="9"/>
        <v>0</v>
      </c>
      <c r="AH51">
        <f t="shared" si="9"/>
        <v>0</v>
      </c>
      <c r="AI51">
        <f t="shared" si="9"/>
        <v>0</v>
      </c>
      <c r="AJ51">
        <f t="shared" si="9"/>
        <v>0</v>
      </c>
      <c r="AK51">
        <f t="shared" si="9"/>
        <v>0</v>
      </c>
      <c r="AL51">
        <f t="shared" si="9"/>
        <v>0</v>
      </c>
      <c r="AM51">
        <f t="shared" si="9"/>
        <v>0</v>
      </c>
      <c r="AN51">
        <f t="shared" si="9"/>
        <v>0</v>
      </c>
      <c r="AO51">
        <f t="shared" si="9"/>
        <v>0</v>
      </c>
      <c r="AP51">
        <f t="shared" si="9"/>
        <v>0</v>
      </c>
      <c r="AQ51">
        <f t="shared" si="9"/>
        <v>0</v>
      </c>
      <c r="AR51">
        <f t="shared" si="9"/>
        <v>0</v>
      </c>
      <c r="AS51">
        <f t="shared" si="9"/>
        <v>0</v>
      </c>
      <c r="BD51">
        <f t="shared" si="9"/>
        <v>0</v>
      </c>
      <c r="BE51">
        <f t="shared" si="9"/>
        <v>0</v>
      </c>
      <c r="BF51">
        <f t="shared" si="9"/>
        <v>0</v>
      </c>
      <c r="BG51">
        <f t="shared" si="9"/>
        <v>0</v>
      </c>
    </row>
    <row r="52" spans="1:59" hidden="1">
      <c r="A52">
        <f t="shared" si="2"/>
        <v>0</v>
      </c>
      <c r="B52">
        <f t="shared" si="0"/>
        <v>0</v>
      </c>
      <c r="C52">
        <f t="shared" si="9"/>
        <v>0</v>
      </c>
      <c r="D52">
        <f t="shared" si="9"/>
        <v>0</v>
      </c>
      <c r="E52">
        <f t="shared" si="9"/>
        <v>0</v>
      </c>
      <c r="F52">
        <f t="shared" si="9"/>
        <v>0</v>
      </c>
      <c r="G52">
        <f t="shared" si="9"/>
        <v>0</v>
      </c>
      <c r="H52">
        <f t="shared" si="9"/>
        <v>0</v>
      </c>
      <c r="I52">
        <f t="shared" si="9"/>
        <v>0</v>
      </c>
      <c r="J52">
        <f t="shared" si="9"/>
        <v>0</v>
      </c>
      <c r="K52">
        <f t="shared" si="9"/>
        <v>0</v>
      </c>
      <c r="L52">
        <f t="shared" si="9"/>
        <v>0</v>
      </c>
      <c r="M52">
        <f t="shared" si="9"/>
        <v>0</v>
      </c>
      <c r="N52">
        <f t="shared" si="9"/>
        <v>0</v>
      </c>
      <c r="O52">
        <f t="shared" si="9"/>
        <v>0</v>
      </c>
      <c r="P52">
        <f t="shared" si="9"/>
        <v>0</v>
      </c>
      <c r="Q52">
        <f t="shared" si="9"/>
        <v>0</v>
      </c>
      <c r="R52">
        <f t="shared" si="9"/>
        <v>0</v>
      </c>
      <c r="S52">
        <f t="shared" si="9"/>
        <v>0</v>
      </c>
      <c r="T52">
        <f t="shared" si="9"/>
        <v>0</v>
      </c>
      <c r="U52">
        <f t="shared" si="9"/>
        <v>0</v>
      </c>
      <c r="V52">
        <f t="shared" si="9"/>
        <v>0</v>
      </c>
      <c r="W52">
        <f t="shared" si="9"/>
        <v>0</v>
      </c>
      <c r="X52">
        <f t="shared" si="9"/>
        <v>0</v>
      </c>
      <c r="Y52">
        <f t="shared" si="9"/>
        <v>0</v>
      </c>
      <c r="Z52">
        <f t="shared" si="9"/>
        <v>0</v>
      </c>
      <c r="AA52">
        <f t="shared" si="9"/>
        <v>0</v>
      </c>
      <c r="AB52">
        <f t="shared" si="9"/>
        <v>0</v>
      </c>
      <c r="AC52">
        <f t="shared" si="9"/>
        <v>0</v>
      </c>
      <c r="AD52">
        <f t="shared" si="9"/>
        <v>0</v>
      </c>
      <c r="AE52">
        <f t="shared" si="9"/>
        <v>0</v>
      </c>
      <c r="AF52">
        <f t="shared" si="9"/>
        <v>0</v>
      </c>
      <c r="AG52">
        <f t="shared" si="9"/>
        <v>0</v>
      </c>
      <c r="AH52">
        <f t="shared" si="9"/>
        <v>0</v>
      </c>
      <c r="AI52">
        <f t="shared" si="9"/>
        <v>0</v>
      </c>
      <c r="AJ52">
        <f t="shared" si="9"/>
        <v>0</v>
      </c>
      <c r="AK52">
        <f t="shared" si="9"/>
        <v>0</v>
      </c>
      <c r="AL52">
        <f t="shared" si="9"/>
        <v>0</v>
      </c>
      <c r="AM52">
        <f t="shared" si="9"/>
        <v>0</v>
      </c>
      <c r="AN52">
        <f t="shared" si="9"/>
        <v>0</v>
      </c>
      <c r="AO52">
        <f t="shared" si="9"/>
        <v>0</v>
      </c>
      <c r="AP52">
        <f t="shared" si="9"/>
        <v>0</v>
      </c>
      <c r="AQ52">
        <f t="shared" si="9"/>
        <v>0</v>
      </c>
      <c r="AR52">
        <f t="shared" si="9"/>
        <v>0</v>
      </c>
      <c r="AS52">
        <f t="shared" si="9"/>
        <v>0</v>
      </c>
      <c r="AT52">
        <f t="shared" si="9"/>
        <v>0</v>
      </c>
      <c r="AU52">
        <f t="shared" si="9"/>
        <v>0</v>
      </c>
      <c r="AV52">
        <f t="shared" si="9"/>
        <v>0</v>
      </c>
      <c r="AW52">
        <f t="shared" si="9"/>
        <v>0</v>
      </c>
      <c r="AX52">
        <f t="shared" si="9"/>
        <v>0</v>
      </c>
      <c r="AY52">
        <f t="shared" si="9"/>
        <v>0</v>
      </c>
      <c r="AZ52">
        <f t="shared" si="9"/>
        <v>0</v>
      </c>
      <c r="BA52">
        <f t="shared" si="9"/>
        <v>0</v>
      </c>
      <c r="BB52">
        <f t="shared" si="9"/>
        <v>0</v>
      </c>
      <c r="BC52">
        <f t="shared" si="9"/>
        <v>0</v>
      </c>
      <c r="BD52">
        <f t="shared" si="9"/>
        <v>0</v>
      </c>
      <c r="BE52">
        <f t="shared" si="9"/>
        <v>0</v>
      </c>
      <c r="BF52">
        <f t="shared" si="9"/>
        <v>0</v>
      </c>
      <c r="BG52">
        <f t="shared" si="9"/>
        <v>0</v>
      </c>
    </row>
    <row r="53" spans="1:59" hidden="1">
      <c r="A53">
        <f t="shared" si="2"/>
        <v>0</v>
      </c>
      <c r="B53">
        <f t="shared" si="0"/>
        <v>0</v>
      </c>
      <c r="C53">
        <f t="shared" si="9"/>
        <v>0</v>
      </c>
      <c r="D53">
        <f t="shared" si="9"/>
        <v>0</v>
      </c>
      <c r="E53">
        <f t="shared" si="9"/>
        <v>0</v>
      </c>
      <c r="F53">
        <f t="shared" si="9"/>
        <v>0</v>
      </c>
      <c r="G53">
        <f t="shared" si="9"/>
        <v>0</v>
      </c>
      <c r="H53">
        <f t="shared" si="9"/>
        <v>0</v>
      </c>
      <c r="I53">
        <f t="shared" si="9"/>
        <v>0</v>
      </c>
      <c r="J53">
        <f t="shared" si="9"/>
        <v>0</v>
      </c>
      <c r="K53">
        <f t="shared" si="9"/>
        <v>0</v>
      </c>
      <c r="L53">
        <f t="shared" si="9"/>
        <v>0</v>
      </c>
      <c r="M53">
        <f t="shared" si="9"/>
        <v>0</v>
      </c>
      <c r="N53">
        <f t="shared" si="9"/>
        <v>0</v>
      </c>
      <c r="O53">
        <f t="shared" si="9"/>
        <v>0</v>
      </c>
      <c r="P53">
        <f t="shared" si="9"/>
        <v>0</v>
      </c>
      <c r="Q53">
        <f t="shared" si="9"/>
        <v>0</v>
      </c>
      <c r="R53">
        <f t="shared" si="9"/>
        <v>0</v>
      </c>
      <c r="S53">
        <f t="shared" si="9"/>
        <v>0</v>
      </c>
      <c r="T53">
        <f t="shared" si="9"/>
        <v>0</v>
      </c>
      <c r="U53">
        <f t="shared" si="9"/>
        <v>0</v>
      </c>
      <c r="V53">
        <f t="shared" si="9"/>
        <v>0</v>
      </c>
      <c r="W53">
        <f t="shared" si="9"/>
        <v>0</v>
      </c>
      <c r="X53">
        <f t="shared" si="9"/>
        <v>0</v>
      </c>
      <c r="Y53">
        <f t="shared" si="9"/>
        <v>0</v>
      </c>
      <c r="Z53">
        <f t="shared" si="9"/>
        <v>0</v>
      </c>
      <c r="AA53">
        <f t="shared" si="9"/>
        <v>0</v>
      </c>
      <c r="AB53">
        <f t="shared" si="9"/>
        <v>0</v>
      </c>
      <c r="AC53">
        <f t="shared" si="9"/>
        <v>0</v>
      </c>
      <c r="AD53">
        <f t="shared" si="9"/>
        <v>0</v>
      </c>
      <c r="AE53">
        <f t="shared" si="9"/>
        <v>0</v>
      </c>
      <c r="AF53">
        <f t="shared" si="9"/>
        <v>0</v>
      </c>
      <c r="AG53">
        <f t="shared" si="9"/>
        <v>0</v>
      </c>
      <c r="AH53">
        <f t="shared" si="9"/>
        <v>0</v>
      </c>
      <c r="AI53">
        <f t="shared" si="9"/>
        <v>0</v>
      </c>
      <c r="AJ53">
        <f t="shared" si="9"/>
        <v>0</v>
      </c>
      <c r="AK53">
        <f t="shared" si="9"/>
        <v>0</v>
      </c>
      <c r="AL53">
        <f t="shared" si="9"/>
        <v>0</v>
      </c>
      <c r="AM53">
        <f t="shared" si="9"/>
        <v>0</v>
      </c>
      <c r="AN53">
        <f t="shared" si="9"/>
        <v>0</v>
      </c>
      <c r="AO53">
        <f t="shared" si="9"/>
        <v>0</v>
      </c>
      <c r="AP53">
        <f t="shared" si="9"/>
        <v>0</v>
      </c>
      <c r="AQ53">
        <f t="shared" si="9"/>
        <v>0</v>
      </c>
      <c r="AR53">
        <f t="shared" si="9"/>
        <v>0</v>
      </c>
      <c r="AS53">
        <f t="shared" si="9"/>
        <v>0</v>
      </c>
      <c r="AT53">
        <f t="shared" si="9"/>
        <v>0</v>
      </c>
      <c r="AU53">
        <f t="shared" si="9"/>
        <v>0</v>
      </c>
      <c r="AV53">
        <f t="shared" si="9"/>
        <v>0</v>
      </c>
      <c r="AW53">
        <f t="shared" si="9"/>
        <v>0</v>
      </c>
      <c r="AX53">
        <f t="shared" si="9"/>
        <v>0</v>
      </c>
      <c r="AY53">
        <f t="shared" si="9"/>
        <v>0</v>
      </c>
      <c r="AZ53">
        <f t="shared" si="9"/>
        <v>0</v>
      </c>
      <c r="BA53">
        <f t="shared" si="9"/>
        <v>0</v>
      </c>
      <c r="BB53">
        <f t="shared" si="9"/>
        <v>0</v>
      </c>
      <c r="BC53">
        <f t="shared" si="9"/>
        <v>0</v>
      </c>
      <c r="BD53">
        <f t="shared" si="9"/>
        <v>0</v>
      </c>
      <c r="BE53">
        <f t="shared" si="9"/>
        <v>0</v>
      </c>
      <c r="BF53">
        <f t="shared" si="9"/>
        <v>0</v>
      </c>
      <c r="BG53">
        <f t="shared" si="9"/>
        <v>0</v>
      </c>
    </row>
    <row r="54" spans="1:59" hidden="1">
      <c r="A54">
        <f t="shared" si="2"/>
        <v>0</v>
      </c>
      <c r="B54">
        <f t="shared" si="0"/>
        <v>0</v>
      </c>
      <c r="C54">
        <f t="shared" si="9"/>
        <v>0</v>
      </c>
      <c r="D54">
        <f t="shared" si="9"/>
        <v>0</v>
      </c>
      <c r="E54">
        <f t="shared" si="9"/>
        <v>0</v>
      </c>
      <c r="F54">
        <f t="shared" si="9"/>
        <v>0</v>
      </c>
      <c r="G54">
        <f t="shared" si="9"/>
        <v>0</v>
      </c>
      <c r="H54">
        <f t="shared" si="9"/>
        <v>0</v>
      </c>
      <c r="I54">
        <f t="shared" si="9"/>
        <v>0</v>
      </c>
      <c r="J54">
        <f t="shared" si="9"/>
        <v>0</v>
      </c>
      <c r="K54">
        <f t="shared" si="9"/>
        <v>0</v>
      </c>
      <c r="L54">
        <f t="shared" si="9"/>
        <v>0</v>
      </c>
      <c r="M54">
        <f t="shared" si="9"/>
        <v>0</v>
      </c>
      <c r="N54">
        <f t="shared" si="9"/>
        <v>0</v>
      </c>
      <c r="O54">
        <f t="shared" si="9"/>
        <v>0</v>
      </c>
      <c r="P54">
        <f t="shared" si="9"/>
        <v>0</v>
      </c>
      <c r="Q54">
        <f t="shared" si="9"/>
        <v>0</v>
      </c>
      <c r="R54">
        <f t="shared" si="9"/>
        <v>0</v>
      </c>
      <c r="S54">
        <f t="shared" si="9"/>
        <v>0</v>
      </c>
      <c r="T54">
        <f t="shared" si="9"/>
        <v>0</v>
      </c>
      <c r="U54">
        <f t="shared" si="9"/>
        <v>0</v>
      </c>
      <c r="V54">
        <f t="shared" si="9"/>
        <v>0</v>
      </c>
      <c r="W54">
        <f t="shared" si="9"/>
        <v>0</v>
      </c>
      <c r="X54">
        <f t="shared" si="9"/>
        <v>0</v>
      </c>
      <c r="Y54">
        <f t="shared" si="9"/>
        <v>0</v>
      </c>
      <c r="Z54">
        <f t="shared" si="9"/>
        <v>0</v>
      </c>
      <c r="AA54">
        <f t="shared" si="9"/>
        <v>0</v>
      </c>
      <c r="AB54">
        <f t="shared" si="9"/>
        <v>0</v>
      </c>
      <c r="AC54">
        <f t="shared" si="9"/>
        <v>0</v>
      </c>
      <c r="AD54">
        <f t="shared" si="9"/>
        <v>0</v>
      </c>
      <c r="AE54">
        <f t="shared" si="9"/>
        <v>0</v>
      </c>
      <c r="AF54">
        <f t="shared" si="9"/>
        <v>0</v>
      </c>
      <c r="AG54">
        <f t="shared" si="9"/>
        <v>0</v>
      </c>
      <c r="AH54">
        <f t="shared" si="9"/>
        <v>0</v>
      </c>
      <c r="AI54">
        <f t="shared" si="9"/>
        <v>0</v>
      </c>
      <c r="AJ54">
        <f t="shared" si="9"/>
        <v>0</v>
      </c>
      <c r="AK54">
        <f t="shared" si="9"/>
        <v>0</v>
      </c>
      <c r="AL54">
        <f t="shared" si="9"/>
        <v>0</v>
      </c>
      <c r="AM54">
        <f t="shared" ref="C54:BG56" si="10">IF(AM26&gt;0,1,0)</f>
        <v>0</v>
      </c>
      <c r="AN54">
        <f t="shared" si="10"/>
        <v>0</v>
      </c>
      <c r="AO54">
        <f t="shared" si="10"/>
        <v>0</v>
      </c>
      <c r="AP54">
        <f t="shared" si="10"/>
        <v>0</v>
      </c>
      <c r="AQ54">
        <f t="shared" si="10"/>
        <v>0</v>
      </c>
      <c r="AR54">
        <f t="shared" si="10"/>
        <v>0</v>
      </c>
      <c r="AS54">
        <f t="shared" si="10"/>
        <v>0</v>
      </c>
      <c r="AT54">
        <f t="shared" si="10"/>
        <v>0</v>
      </c>
      <c r="AU54">
        <f t="shared" si="10"/>
        <v>0</v>
      </c>
      <c r="AV54">
        <f t="shared" si="10"/>
        <v>0</v>
      </c>
      <c r="AW54">
        <f t="shared" si="10"/>
        <v>0</v>
      </c>
      <c r="AX54">
        <f t="shared" si="10"/>
        <v>0</v>
      </c>
      <c r="AY54">
        <f t="shared" si="10"/>
        <v>0</v>
      </c>
      <c r="AZ54">
        <f t="shared" si="10"/>
        <v>0</v>
      </c>
      <c r="BA54">
        <f t="shared" si="10"/>
        <v>0</v>
      </c>
      <c r="BB54">
        <f t="shared" si="10"/>
        <v>0</v>
      </c>
      <c r="BC54">
        <f t="shared" si="10"/>
        <v>0</v>
      </c>
      <c r="BD54">
        <f t="shared" si="10"/>
        <v>0</v>
      </c>
      <c r="BE54">
        <f t="shared" si="10"/>
        <v>0</v>
      </c>
      <c r="BF54">
        <f t="shared" si="10"/>
        <v>0</v>
      </c>
      <c r="BG54">
        <f t="shared" si="10"/>
        <v>0</v>
      </c>
    </row>
    <row r="55" spans="1:59" hidden="1">
      <c r="A55">
        <f t="shared" si="2"/>
        <v>0</v>
      </c>
      <c r="B55">
        <f t="shared" si="0"/>
        <v>0</v>
      </c>
      <c r="C55">
        <f t="shared" si="10"/>
        <v>0</v>
      </c>
      <c r="D55">
        <f t="shared" si="10"/>
        <v>0</v>
      </c>
      <c r="E55">
        <f t="shared" si="10"/>
        <v>0</v>
      </c>
      <c r="F55">
        <f t="shared" si="10"/>
        <v>0</v>
      </c>
      <c r="G55">
        <f t="shared" si="10"/>
        <v>0</v>
      </c>
      <c r="H55">
        <f t="shared" si="10"/>
        <v>0</v>
      </c>
      <c r="I55">
        <f t="shared" si="10"/>
        <v>0</v>
      </c>
      <c r="J55">
        <f t="shared" si="10"/>
        <v>0</v>
      </c>
      <c r="K55">
        <f t="shared" si="10"/>
        <v>0</v>
      </c>
      <c r="L55">
        <f t="shared" si="10"/>
        <v>0</v>
      </c>
      <c r="M55">
        <f t="shared" si="10"/>
        <v>0</v>
      </c>
      <c r="N55">
        <f t="shared" si="10"/>
        <v>0</v>
      </c>
      <c r="O55">
        <f t="shared" si="10"/>
        <v>0</v>
      </c>
      <c r="P55">
        <f t="shared" si="10"/>
        <v>0</v>
      </c>
      <c r="Q55">
        <f t="shared" si="10"/>
        <v>0</v>
      </c>
      <c r="R55">
        <f t="shared" si="10"/>
        <v>0</v>
      </c>
      <c r="S55">
        <f t="shared" si="10"/>
        <v>0</v>
      </c>
      <c r="T55">
        <f t="shared" si="10"/>
        <v>0</v>
      </c>
      <c r="U55">
        <f t="shared" si="10"/>
        <v>0</v>
      </c>
      <c r="V55">
        <f t="shared" si="10"/>
        <v>0</v>
      </c>
      <c r="W55">
        <f t="shared" si="10"/>
        <v>0</v>
      </c>
      <c r="X55">
        <f t="shared" si="10"/>
        <v>0</v>
      </c>
      <c r="Y55">
        <f t="shared" si="10"/>
        <v>0</v>
      </c>
      <c r="Z55">
        <f t="shared" si="10"/>
        <v>0</v>
      </c>
      <c r="AA55">
        <f t="shared" si="10"/>
        <v>0</v>
      </c>
      <c r="AB55">
        <f t="shared" si="10"/>
        <v>0</v>
      </c>
      <c r="AC55">
        <f t="shared" si="10"/>
        <v>0</v>
      </c>
      <c r="AD55">
        <f t="shared" si="10"/>
        <v>0</v>
      </c>
      <c r="AE55">
        <f t="shared" si="10"/>
        <v>0</v>
      </c>
      <c r="AF55">
        <f t="shared" si="10"/>
        <v>0</v>
      </c>
      <c r="AG55">
        <f t="shared" si="10"/>
        <v>0</v>
      </c>
      <c r="AH55">
        <f t="shared" si="10"/>
        <v>0</v>
      </c>
      <c r="AI55">
        <f t="shared" si="10"/>
        <v>0</v>
      </c>
      <c r="AJ55">
        <f t="shared" si="10"/>
        <v>0</v>
      </c>
      <c r="AK55">
        <f t="shared" si="10"/>
        <v>0</v>
      </c>
      <c r="AL55">
        <f t="shared" si="10"/>
        <v>0</v>
      </c>
      <c r="AM55">
        <f t="shared" si="10"/>
        <v>0</v>
      </c>
      <c r="AN55">
        <f t="shared" si="10"/>
        <v>0</v>
      </c>
      <c r="AO55">
        <f t="shared" si="10"/>
        <v>0</v>
      </c>
      <c r="AP55">
        <f t="shared" si="10"/>
        <v>0</v>
      </c>
      <c r="AQ55">
        <f t="shared" si="10"/>
        <v>0</v>
      </c>
      <c r="AR55">
        <f t="shared" si="10"/>
        <v>0</v>
      </c>
      <c r="AS55">
        <f t="shared" si="10"/>
        <v>0</v>
      </c>
      <c r="AT55">
        <f t="shared" si="10"/>
        <v>0</v>
      </c>
      <c r="AU55">
        <f t="shared" si="10"/>
        <v>0</v>
      </c>
      <c r="AV55">
        <f t="shared" si="10"/>
        <v>0</v>
      </c>
      <c r="AW55">
        <f t="shared" si="10"/>
        <v>0</v>
      </c>
      <c r="AX55">
        <f t="shared" si="10"/>
        <v>0</v>
      </c>
      <c r="AY55">
        <f t="shared" si="10"/>
        <v>0</v>
      </c>
      <c r="AZ55">
        <f t="shared" si="10"/>
        <v>0</v>
      </c>
      <c r="BA55">
        <f t="shared" si="10"/>
        <v>0</v>
      </c>
      <c r="BB55">
        <f t="shared" si="10"/>
        <v>0</v>
      </c>
      <c r="BC55">
        <f t="shared" si="10"/>
        <v>0</v>
      </c>
      <c r="BD55">
        <f t="shared" si="10"/>
        <v>0</v>
      </c>
      <c r="BE55">
        <f t="shared" si="10"/>
        <v>0</v>
      </c>
      <c r="BF55">
        <f t="shared" si="10"/>
        <v>0</v>
      </c>
      <c r="BG55">
        <f t="shared" si="10"/>
        <v>0</v>
      </c>
    </row>
    <row r="56" spans="1:59" hidden="1">
      <c r="A56">
        <f t="shared" si="2"/>
        <v>0</v>
      </c>
      <c r="B56">
        <f t="shared" si="0"/>
        <v>0</v>
      </c>
      <c r="C56">
        <f t="shared" si="10"/>
        <v>0</v>
      </c>
      <c r="D56">
        <f t="shared" si="10"/>
        <v>0</v>
      </c>
      <c r="E56">
        <f t="shared" si="10"/>
        <v>0</v>
      </c>
      <c r="F56">
        <f t="shared" si="10"/>
        <v>0</v>
      </c>
      <c r="G56">
        <f t="shared" si="10"/>
        <v>0</v>
      </c>
      <c r="H56">
        <f t="shared" si="10"/>
        <v>0</v>
      </c>
      <c r="I56">
        <f t="shared" si="10"/>
        <v>0</v>
      </c>
      <c r="J56">
        <f t="shared" si="10"/>
        <v>0</v>
      </c>
      <c r="K56">
        <f t="shared" si="10"/>
        <v>0</v>
      </c>
      <c r="L56">
        <f t="shared" si="10"/>
        <v>0</v>
      </c>
      <c r="M56">
        <f t="shared" si="10"/>
        <v>0</v>
      </c>
      <c r="N56">
        <f t="shared" si="10"/>
        <v>0</v>
      </c>
      <c r="O56">
        <f t="shared" si="10"/>
        <v>0</v>
      </c>
      <c r="P56">
        <f t="shared" si="10"/>
        <v>0</v>
      </c>
      <c r="Q56">
        <f t="shared" si="10"/>
        <v>0</v>
      </c>
      <c r="R56">
        <f t="shared" si="10"/>
        <v>0</v>
      </c>
      <c r="S56">
        <f t="shared" si="10"/>
        <v>0</v>
      </c>
      <c r="T56">
        <f t="shared" si="10"/>
        <v>0</v>
      </c>
      <c r="U56">
        <f t="shared" si="10"/>
        <v>0</v>
      </c>
      <c r="V56">
        <f t="shared" si="10"/>
        <v>0</v>
      </c>
      <c r="W56">
        <f t="shared" si="10"/>
        <v>0</v>
      </c>
      <c r="X56">
        <f t="shared" si="10"/>
        <v>0</v>
      </c>
      <c r="Y56">
        <f t="shared" si="10"/>
        <v>0</v>
      </c>
      <c r="Z56">
        <f t="shared" si="10"/>
        <v>0</v>
      </c>
      <c r="AA56">
        <f t="shared" si="10"/>
        <v>0</v>
      </c>
      <c r="AB56">
        <f t="shared" si="10"/>
        <v>0</v>
      </c>
      <c r="AC56">
        <f t="shared" si="10"/>
        <v>0</v>
      </c>
      <c r="AD56">
        <f t="shared" si="10"/>
        <v>0</v>
      </c>
      <c r="AE56">
        <f t="shared" si="10"/>
        <v>0</v>
      </c>
      <c r="AF56">
        <f t="shared" si="10"/>
        <v>0</v>
      </c>
      <c r="AG56">
        <f t="shared" si="10"/>
        <v>0</v>
      </c>
      <c r="AH56">
        <f t="shared" si="10"/>
        <v>0</v>
      </c>
      <c r="AI56">
        <f t="shared" si="10"/>
        <v>0</v>
      </c>
      <c r="AJ56">
        <f t="shared" si="10"/>
        <v>0</v>
      </c>
      <c r="AK56">
        <f t="shared" si="10"/>
        <v>0</v>
      </c>
      <c r="AL56">
        <f t="shared" si="10"/>
        <v>0</v>
      </c>
      <c r="AM56">
        <f t="shared" si="10"/>
        <v>0</v>
      </c>
      <c r="AN56">
        <f t="shared" si="10"/>
        <v>0</v>
      </c>
      <c r="AO56">
        <f t="shared" si="10"/>
        <v>0</v>
      </c>
      <c r="AP56">
        <f t="shared" si="10"/>
        <v>0</v>
      </c>
      <c r="AQ56">
        <f t="shared" si="10"/>
        <v>0</v>
      </c>
      <c r="AR56">
        <f t="shared" si="10"/>
        <v>0</v>
      </c>
      <c r="AS56">
        <f t="shared" si="10"/>
        <v>0</v>
      </c>
      <c r="AT56">
        <f t="shared" si="10"/>
        <v>0</v>
      </c>
      <c r="AU56">
        <f t="shared" si="10"/>
        <v>0</v>
      </c>
      <c r="AV56">
        <f t="shared" si="10"/>
        <v>0</v>
      </c>
      <c r="AW56">
        <f t="shared" si="10"/>
        <v>0</v>
      </c>
      <c r="AX56">
        <f t="shared" si="10"/>
        <v>0</v>
      </c>
      <c r="AY56">
        <f t="shared" si="10"/>
        <v>0</v>
      </c>
      <c r="AZ56">
        <f t="shared" si="10"/>
        <v>0</v>
      </c>
      <c r="BA56">
        <f t="shared" si="10"/>
        <v>0</v>
      </c>
      <c r="BB56">
        <f t="shared" si="10"/>
        <v>0</v>
      </c>
      <c r="BC56">
        <f t="shared" si="10"/>
        <v>0</v>
      </c>
      <c r="BD56">
        <f t="shared" si="10"/>
        <v>0</v>
      </c>
      <c r="BE56">
        <f t="shared" si="10"/>
        <v>0</v>
      </c>
      <c r="BF56">
        <f t="shared" si="10"/>
        <v>0</v>
      </c>
      <c r="BG56">
        <f t="shared" si="10"/>
        <v>0</v>
      </c>
    </row>
    <row r="57" spans="1:59" hidden="1">
      <c r="A57" t="e">
        <f>SUM(A32:A56)</f>
        <v>#REF!</v>
      </c>
    </row>
  </sheetData>
  <sheetProtection sheet="1"/>
  <protectedRanges>
    <protectedRange sqref="A1:U31 V1:IV6 V7:AE7 AL10:AS31 V9:AK31 AT9:IV31 AF7:IV8 AM9:AP9" name="Bereich1"/>
  </protectedRanges>
  <mergeCells count="2">
    <mergeCell ref="AT9:BC22"/>
    <mergeCell ref="A1:BG1"/>
  </mergeCells>
  <phoneticPr fontId="14" type="noConversion"/>
  <conditionalFormatting sqref="AT9:BC22">
    <cfRule type="cellIs" dxfId="15" priority="1" stopIfTrue="1" operator="equal">
      <formula>0</formula>
    </cfRule>
  </conditionalFormatting>
  <pageMargins left="0.70866141732283472" right="0.70866141732283472" top="0.74803149606299213" bottom="0.74803149606299213" header="0.31496062992125984" footer="0.31496062992125984"/>
  <pageSetup paperSize="9" scale="47"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indexed="43"/>
    <pageSetUpPr fitToPage="1"/>
  </sheetPr>
  <dimension ref="A1:M28"/>
  <sheetViews>
    <sheetView view="pageBreakPreview" zoomScale="70" zoomScaleNormal="55" zoomScaleSheetLayoutView="40" workbookViewId="0">
      <selection activeCell="L5" sqref="L5"/>
    </sheetView>
  </sheetViews>
  <sheetFormatPr baseColWidth="10" defaultColWidth="11.42578125" defaultRowHeight="12.75"/>
  <cols>
    <col min="1" max="1" width="4.42578125" style="276" customWidth="1"/>
    <col min="2" max="2" width="32.42578125" style="276" customWidth="1"/>
    <col min="3" max="3" width="11.42578125" style="276" customWidth="1"/>
    <col min="4" max="4" width="32.42578125" style="276" customWidth="1"/>
    <col min="5" max="5" width="11.42578125" style="276" customWidth="1"/>
    <col min="6" max="6" width="32.42578125" style="276" customWidth="1"/>
    <col min="7" max="7" width="11.42578125" style="276" customWidth="1"/>
    <col min="8" max="8" width="32.42578125" style="276" customWidth="1"/>
    <col min="9" max="9" width="11.42578125" style="276" customWidth="1"/>
    <col min="10" max="10" width="32.42578125" style="276" customWidth="1"/>
    <col min="11" max="12" width="11.42578125" style="276" customWidth="1"/>
    <col min="13" max="13" width="11.42578125" style="276" hidden="1" customWidth="1"/>
    <col min="14" max="16384" width="11.42578125" style="276"/>
  </cols>
  <sheetData>
    <row r="1" spans="1:13" ht="21" customHeight="1" thickBot="1">
      <c r="A1" s="815" t="s">
        <v>524</v>
      </c>
      <c r="B1" s="816"/>
      <c r="C1" s="816"/>
      <c r="D1" s="816"/>
      <c r="E1" s="816"/>
      <c r="F1" s="816"/>
      <c r="G1" s="816"/>
      <c r="H1" s="816"/>
      <c r="I1" s="816"/>
      <c r="J1" s="816"/>
      <c r="K1" s="817"/>
    </row>
    <row r="2" spans="1:13" ht="35.25" thickBot="1">
      <c r="A2" s="818" t="s">
        <v>273</v>
      </c>
      <c r="B2" s="200" t="s">
        <v>274</v>
      </c>
      <c r="C2" s="42" t="s">
        <v>188</v>
      </c>
      <c r="D2" s="42"/>
      <c r="E2" s="42" t="s">
        <v>188</v>
      </c>
      <c r="F2" s="42"/>
      <c r="G2" s="42" t="s">
        <v>188</v>
      </c>
      <c r="H2" s="42"/>
      <c r="I2" s="42" t="s">
        <v>188</v>
      </c>
      <c r="J2" s="42"/>
      <c r="K2" s="43"/>
    </row>
    <row r="3" spans="1:13" s="4" customFormat="1" ht="70.5" customHeight="1" thickBot="1">
      <c r="A3" s="819"/>
      <c r="B3" s="548" t="s">
        <v>909</v>
      </c>
      <c r="C3" s="549"/>
      <c r="D3" s="548" t="s">
        <v>910</v>
      </c>
      <c r="E3" s="549"/>
      <c r="F3" s="548" t="s">
        <v>911</v>
      </c>
      <c r="G3" s="549"/>
      <c r="H3" s="548" t="s">
        <v>912</v>
      </c>
      <c r="I3" s="549"/>
      <c r="J3" s="550" t="s">
        <v>913</v>
      </c>
      <c r="K3" s="513"/>
      <c r="M3" s="4" t="e">
        <v>#REF!</v>
      </c>
    </row>
    <row r="4" spans="1:13" ht="15.75" thickBot="1">
      <c r="A4" s="819"/>
      <c r="B4" s="200" t="s">
        <v>275</v>
      </c>
      <c r="C4" s="271"/>
      <c r="D4" s="275"/>
      <c r="E4" s="271"/>
      <c r="F4" s="275"/>
      <c r="G4" s="271"/>
      <c r="H4" s="275"/>
      <c r="I4" s="271"/>
      <c r="J4" s="275"/>
      <c r="K4" s="268"/>
      <c r="M4" s="4">
        <f>IF(B3&gt;0,1,2)</f>
        <v>1</v>
      </c>
    </row>
    <row r="5" spans="1:13" s="4" customFormat="1" ht="70.5" customHeight="1" thickBot="1">
      <c r="A5" s="819"/>
      <c r="B5" s="311"/>
      <c r="C5" s="274"/>
      <c r="D5" s="312"/>
      <c r="E5" s="274"/>
      <c r="F5" s="312"/>
      <c r="G5" s="274"/>
      <c r="H5" s="312"/>
      <c r="I5" s="274"/>
      <c r="J5" s="546"/>
      <c r="K5" s="267"/>
    </row>
    <row r="6" spans="1:13" ht="15.75" thickBot="1">
      <c r="A6" s="819"/>
      <c r="B6" s="200" t="s">
        <v>276</v>
      </c>
      <c r="C6" s="271"/>
      <c r="D6" s="272"/>
      <c r="E6" s="271"/>
      <c r="F6" s="272"/>
      <c r="G6" s="271"/>
      <c r="H6" s="272"/>
      <c r="I6" s="271"/>
      <c r="J6" s="514"/>
      <c r="K6" s="268"/>
    </row>
    <row r="7" spans="1:13" s="4" customFormat="1" ht="70.5" customHeight="1" thickBot="1">
      <c r="A7" s="819"/>
      <c r="B7" s="311"/>
      <c r="C7" s="274"/>
      <c r="D7" s="311"/>
      <c r="E7" s="274"/>
      <c r="F7" s="311"/>
      <c r="G7" s="274"/>
      <c r="H7" s="311"/>
      <c r="I7" s="274"/>
      <c r="J7" s="546"/>
      <c r="K7" s="267"/>
    </row>
    <row r="8" spans="1:13" ht="15.75" thickBot="1">
      <c r="A8" s="819"/>
      <c r="B8" s="200" t="s">
        <v>277</v>
      </c>
      <c r="C8" s="271"/>
      <c r="D8" s="271"/>
      <c r="E8" s="271"/>
      <c r="F8" s="272"/>
      <c r="G8" s="271"/>
      <c r="H8" s="272"/>
      <c r="I8" s="271"/>
      <c r="J8" s="272"/>
      <c r="K8" s="268"/>
    </row>
    <row r="9" spans="1:13" s="4" customFormat="1" ht="70.5" customHeight="1" thickBot="1">
      <c r="A9" s="819"/>
      <c r="B9" s="311"/>
      <c r="C9" s="274"/>
      <c r="D9" s="311"/>
      <c r="E9" s="274"/>
      <c r="F9" s="311"/>
      <c r="G9" s="274"/>
      <c r="H9" s="311"/>
      <c r="I9" s="274"/>
      <c r="J9" s="546"/>
      <c r="K9" s="267"/>
    </row>
    <row r="10" spans="1:13" ht="15.75" thickBot="1">
      <c r="A10" s="819"/>
      <c r="B10" s="200" t="s">
        <v>416</v>
      </c>
      <c r="C10" s="271"/>
      <c r="D10" s="271"/>
      <c r="E10" s="271"/>
      <c r="F10" s="272"/>
      <c r="G10" s="271"/>
      <c r="H10" s="272"/>
      <c r="I10" s="271"/>
      <c r="J10" s="272"/>
      <c r="K10" s="268"/>
    </row>
    <row r="11" spans="1:13" s="4" customFormat="1" ht="70.5" customHeight="1" thickBot="1">
      <c r="A11" s="819"/>
      <c r="B11" s="311"/>
      <c r="C11" s="274"/>
      <c r="D11" s="311"/>
      <c r="E11" s="274"/>
      <c r="F11" s="311"/>
      <c r="G11" s="274"/>
      <c r="H11" s="311"/>
      <c r="I11" s="274"/>
      <c r="J11" s="546"/>
      <c r="K11" s="267"/>
    </row>
    <row r="12" spans="1:13" ht="16.5">
      <c r="A12" s="819"/>
      <c r="B12" s="270"/>
      <c r="C12" s="270"/>
      <c r="D12" s="271"/>
      <c r="E12" s="271"/>
      <c r="F12" s="271"/>
      <c r="G12" s="272"/>
      <c r="H12" s="271"/>
      <c r="I12" s="272"/>
      <c r="J12" s="271"/>
      <c r="K12" s="268"/>
    </row>
    <row r="13" spans="1:13" ht="15">
      <c r="A13" s="819"/>
      <c r="B13" s="271"/>
      <c r="C13" s="271"/>
      <c r="D13" s="271"/>
      <c r="E13" s="271"/>
      <c r="F13" s="271"/>
      <c r="G13" s="271"/>
      <c r="H13" s="272"/>
      <c r="I13" s="272"/>
      <c r="J13" s="272"/>
      <c r="K13" s="268"/>
    </row>
    <row r="14" spans="1:13" ht="13.5" thickBot="1">
      <c r="A14" s="820"/>
      <c r="B14" s="273"/>
      <c r="C14" s="273"/>
      <c r="D14" s="273"/>
      <c r="E14" s="273"/>
      <c r="F14" s="273"/>
      <c r="G14" s="273"/>
      <c r="H14" s="273"/>
      <c r="I14" s="273"/>
      <c r="J14" s="273"/>
      <c r="K14" s="269"/>
    </row>
    <row r="15" spans="1:13" ht="15.75" thickBot="1">
      <c r="A15" s="266"/>
      <c r="B15" s="189" t="s">
        <v>183</v>
      </c>
      <c r="C15" s="189"/>
      <c r="D15" s="189" t="s">
        <v>184</v>
      </c>
      <c r="E15" s="189"/>
      <c r="F15" s="189" t="s">
        <v>185</v>
      </c>
      <c r="G15" s="189"/>
      <c r="H15" s="189" t="s">
        <v>186</v>
      </c>
      <c r="I15" s="189"/>
      <c r="J15" s="189" t="s">
        <v>187</v>
      </c>
      <c r="K15" s="190"/>
    </row>
    <row r="16" spans="1:13" ht="35.25" thickBot="1">
      <c r="A16" s="818" t="s">
        <v>488</v>
      </c>
      <c r="B16" s="200" t="s">
        <v>483</v>
      </c>
      <c r="C16" s="42" t="s">
        <v>188</v>
      </c>
      <c r="D16" s="42"/>
      <c r="E16" s="42" t="s">
        <v>188</v>
      </c>
      <c r="F16" s="42"/>
      <c r="G16" s="42" t="s">
        <v>188</v>
      </c>
      <c r="H16" s="42"/>
      <c r="I16" s="42" t="s">
        <v>188</v>
      </c>
      <c r="J16" s="42"/>
      <c r="K16" s="43"/>
    </row>
    <row r="17" spans="1:13" s="4" customFormat="1" ht="70.5" customHeight="1" thickBot="1">
      <c r="A17" s="819"/>
      <c r="B17" s="311" t="s">
        <v>914</v>
      </c>
      <c r="C17" s="549"/>
      <c r="D17" s="311" t="s">
        <v>915</v>
      </c>
      <c r="E17" s="549"/>
      <c r="F17" s="311" t="s">
        <v>916</v>
      </c>
      <c r="G17" s="549"/>
      <c r="H17" s="311" t="s">
        <v>913</v>
      </c>
      <c r="I17" s="549"/>
      <c r="J17" s="550" t="s">
        <v>917</v>
      </c>
      <c r="K17" s="267"/>
      <c r="M17" s="4" t="e">
        <v>#REF!</v>
      </c>
    </row>
    <row r="18" spans="1:13" ht="15.75" thickBot="1">
      <c r="A18" s="819"/>
      <c r="B18" s="200" t="s">
        <v>484</v>
      </c>
      <c r="C18" s="271"/>
      <c r="D18" s="275"/>
      <c r="E18" s="271"/>
      <c r="F18" s="275"/>
      <c r="G18" s="271"/>
      <c r="H18" s="275"/>
      <c r="I18" s="271"/>
      <c r="J18" s="275"/>
      <c r="K18" s="268"/>
      <c r="M18" s="4">
        <f>IF(B17&gt;0,1,2)</f>
        <v>1</v>
      </c>
    </row>
    <row r="19" spans="1:13" s="4" customFormat="1" ht="70.5" customHeight="1" thickBot="1">
      <c r="A19" s="819"/>
      <c r="B19" s="551" t="s">
        <v>918</v>
      </c>
      <c r="C19" s="552"/>
      <c r="D19" s="551" t="s">
        <v>919</v>
      </c>
      <c r="E19" s="552"/>
      <c r="F19" s="551" t="s">
        <v>920</v>
      </c>
      <c r="G19" s="552"/>
      <c r="H19" s="551" t="s">
        <v>921</v>
      </c>
      <c r="I19" s="552"/>
      <c r="J19" s="553" t="s">
        <v>922</v>
      </c>
      <c r="K19" s="267"/>
    </row>
    <row r="20" spans="1:13" ht="15.75" thickBot="1">
      <c r="A20" s="819"/>
      <c r="B20" s="200" t="s">
        <v>485</v>
      </c>
      <c r="C20" s="271"/>
      <c r="D20" s="272"/>
      <c r="E20" s="271"/>
      <c r="F20" s="272"/>
      <c r="G20" s="271"/>
      <c r="H20" s="272"/>
      <c r="I20" s="271"/>
      <c r="J20" s="272"/>
      <c r="K20" s="268"/>
    </row>
    <row r="21" spans="1:13" s="4" customFormat="1" ht="70.5" customHeight="1" thickBot="1">
      <c r="A21" s="819"/>
      <c r="B21" s="311"/>
      <c r="C21" s="274"/>
      <c r="D21" s="311"/>
      <c r="E21" s="274"/>
      <c r="F21" s="311"/>
      <c r="G21" s="274"/>
      <c r="H21" s="311"/>
      <c r="I21" s="274"/>
      <c r="J21" s="546"/>
      <c r="K21" s="267"/>
    </row>
    <row r="22" spans="1:13" ht="15.75" thickBot="1">
      <c r="A22" s="819"/>
      <c r="B22" s="200" t="s">
        <v>486</v>
      </c>
      <c r="C22" s="271"/>
      <c r="D22" s="271"/>
      <c r="E22" s="271"/>
      <c r="F22" s="272"/>
      <c r="G22" s="271"/>
      <c r="H22" s="272"/>
      <c r="I22" s="271"/>
      <c r="J22" s="272"/>
      <c r="K22" s="268"/>
    </row>
    <row r="23" spans="1:13" s="4" customFormat="1" ht="70.5" customHeight="1" thickBot="1">
      <c r="A23" s="819"/>
      <c r="B23" s="311"/>
      <c r="C23" s="274"/>
      <c r="D23" s="311"/>
      <c r="E23" s="274"/>
      <c r="F23" s="311"/>
      <c r="G23" s="274"/>
      <c r="H23" s="311"/>
      <c r="I23" s="274"/>
      <c r="J23" s="546"/>
      <c r="K23" s="267"/>
    </row>
    <row r="24" spans="1:13" ht="15.75" thickBot="1">
      <c r="A24" s="819"/>
      <c r="B24" s="200" t="s">
        <v>487</v>
      </c>
      <c r="C24" s="271"/>
      <c r="D24" s="271"/>
      <c r="E24" s="271"/>
      <c r="F24" s="272"/>
      <c r="G24" s="271"/>
      <c r="H24" s="272"/>
      <c r="I24" s="271"/>
      <c r="J24" s="272"/>
      <c r="K24" s="268"/>
    </row>
    <row r="25" spans="1:13" s="4" customFormat="1" ht="70.5" customHeight="1" thickBot="1">
      <c r="A25" s="819"/>
      <c r="B25" s="311"/>
      <c r="C25" s="274"/>
      <c r="D25" s="311"/>
      <c r="E25" s="274"/>
      <c r="F25" s="311"/>
      <c r="G25" s="274"/>
      <c r="H25" s="311"/>
      <c r="I25" s="274"/>
      <c r="J25" s="546"/>
      <c r="K25" s="267"/>
    </row>
    <row r="26" spans="1:13" ht="16.5">
      <c r="A26" s="819"/>
      <c r="B26" s="270"/>
      <c r="C26" s="270"/>
      <c r="D26" s="271"/>
      <c r="E26" s="271"/>
      <c r="F26" s="271"/>
      <c r="G26" s="272"/>
      <c r="H26" s="271"/>
      <c r="I26" s="272"/>
      <c r="J26" s="271"/>
      <c r="K26" s="268"/>
    </row>
    <row r="27" spans="1:13" ht="15">
      <c r="A27" s="819"/>
      <c r="B27" s="271"/>
      <c r="C27" s="271"/>
      <c r="D27" s="271"/>
      <c r="E27" s="271"/>
      <c r="F27" s="271"/>
      <c r="G27" s="271"/>
      <c r="H27" s="272"/>
      <c r="I27" s="272"/>
      <c r="J27" s="272"/>
      <c r="K27" s="268"/>
    </row>
    <row r="28" spans="1:13" ht="13.5" thickBot="1">
      <c r="A28" s="820"/>
      <c r="B28" s="273"/>
      <c r="C28" s="273"/>
      <c r="D28" s="273"/>
      <c r="E28" s="273"/>
      <c r="F28" s="273"/>
      <c r="G28" s="273"/>
      <c r="H28" s="273"/>
      <c r="I28" s="273"/>
      <c r="J28" s="273"/>
      <c r="K28" s="269"/>
    </row>
  </sheetData>
  <sheetProtection sheet="1"/>
  <protectedRanges>
    <protectedRange sqref="I8 I22 G22 C6 C8 E12:E16 G12:G16 E8 E6 G6 G8 C26:C28 C20 C22 E26:E28 E22 E20 G26:G28 G20 I26:I28 C18:I18 I20 J24:K28 I12:J16 C4:I4 I6 G24 C24 J10:K11 D20:D28 B2:J2 E24 F20:F28 I24 H20:H28 A2:A9 K2:K9 J4:J9 B4:B9 B12:C16 I10 C10 D6:D16 F6:F16 H6:H16 E10 G10 A10:B11 K12:K23 A12:A23 J18:J23 B18:B23 A24:B28 A1:K1" name="Bereich1"/>
    <protectedRange sqref="C23 C7 C9 C5 G9 E7 E5 G7 G5 I9 C21 C19 E23 G23 E21 E19 I11 G21 G19 I21 I19 G25 I7 I5 C25 C11 G11 I23 I25 E25 E9 B17:J17 E11 B3:J3" name="Bereich1_1"/>
    <protectedRange sqref="H5 D5 F5 D19 F19 H19" name="Bereich1_2"/>
  </protectedRanges>
  <mergeCells count="3">
    <mergeCell ref="A1:K1"/>
    <mergeCell ref="A2:A14"/>
    <mergeCell ref="A16:A28"/>
  </mergeCells>
  <phoneticPr fontId="14" type="noConversion"/>
  <conditionalFormatting sqref="F5 H7 D7 F7 F9 H9 J9 H25 J25 H5 D5 J7 H11 J5 H21 D21 F21 F23 H23 J23 J21 D11 F25 D25 J11 D23 D9 F11">
    <cfRule type="cellIs" dxfId="14" priority="3" stopIfTrue="1" operator="equal">
      <formula>""""""</formula>
    </cfRule>
  </conditionalFormatting>
  <conditionalFormatting sqref="H17 D17 F17">
    <cfRule type="cellIs" dxfId="13" priority="2" stopIfTrue="1" operator="equal">
      <formula>""""""</formula>
    </cfRule>
  </conditionalFormatting>
  <conditionalFormatting sqref="J19 F19 H19 D19">
    <cfRule type="cellIs" dxfId="12" priority="1" stopIfTrue="1" operator="equal">
      <formula>""""""</formula>
    </cfRule>
  </conditionalFormatting>
  <dataValidations count="1">
    <dataValidation type="list" allowBlank="1" showInputMessage="1" showErrorMessage="1" sqref="G9 I23 C21 C19 C9 G7 G5 G25 C7 E9 E17 E7 C5 E25 E5 C17 I7 I5 C25 G23 I21 I19 I17 E23 G21 G19 G17 I11 E21 E19 I9 G11 C11 E11 C23 I25 C3 E3 G3 I3" xr:uid="{00000000-0002-0000-0500-000000000000}">
      <formula1>"OK, NOK"</formula1>
    </dataValidation>
  </dataValidations>
  <pageMargins left="0.70866141732283472" right="0.70866141732283472" top="0.74803149606299213" bottom="0.74803149606299213" header="0.31496062992125984" footer="0.31496062992125984"/>
  <pageSetup paperSize="9" scale="39"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indexed="9"/>
    <pageSetUpPr fitToPage="1"/>
  </sheetPr>
  <dimension ref="A1:K230"/>
  <sheetViews>
    <sheetView view="pageBreakPreview" zoomScale="85" zoomScaleNormal="40" zoomScaleSheetLayoutView="85" workbookViewId="0">
      <pane xSplit="1" ySplit="2" topLeftCell="B3" activePane="bottomRight" state="frozen"/>
      <selection activeCell="B29" sqref="B29"/>
      <selection pane="topRight" activeCell="B29" sqref="B29"/>
      <selection pane="bottomLeft" activeCell="B29" sqref="B29"/>
      <selection pane="bottomRight" activeCell="B27" sqref="B27:B34"/>
    </sheetView>
  </sheetViews>
  <sheetFormatPr baseColWidth="10" defaultColWidth="9.140625" defaultRowHeight="12.75"/>
  <cols>
    <col min="1" max="1" width="0.140625" customWidth="1"/>
    <col min="2" max="2" width="9.7109375" customWidth="1"/>
    <col min="3" max="11" width="42.7109375" customWidth="1"/>
  </cols>
  <sheetData>
    <row r="1" spans="2:11" ht="1.5" customHeight="1" thickBot="1">
      <c r="B1" s="319"/>
      <c r="C1" s="319"/>
      <c r="D1" s="319"/>
      <c r="E1" s="319"/>
      <c r="F1" s="531"/>
      <c r="G1" s="319"/>
      <c r="H1" s="319"/>
      <c r="I1" s="319"/>
      <c r="J1" s="319"/>
      <c r="K1" s="319"/>
    </row>
    <row r="2" spans="2:11" ht="39.75" customHeight="1" thickBot="1">
      <c r="B2" s="199" t="s">
        <v>434</v>
      </c>
      <c r="C2" s="198" t="s">
        <v>659</v>
      </c>
      <c r="D2" s="198" t="s">
        <v>435</v>
      </c>
      <c r="E2" s="198" t="s">
        <v>450</v>
      </c>
      <c r="F2" s="530" t="s">
        <v>451</v>
      </c>
      <c r="G2" s="198" t="s">
        <v>452</v>
      </c>
      <c r="H2" s="198" t="s">
        <v>718</v>
      </c>
      <c r="I2" s="198" t="s">
        <v>900</v>
      </c>
      <c r="J2" s="198" t="s">
        <v>384</v>
      </c>
      <c r="K2" s="512" t="s">
        <v>385</v>
      </c>
    </row>
    <row r="3" spans="2:11" ht="12.75" customHeight="1">
      <c r="B3" s="865" t="s">
        <v>436</v>
      </c>
      <c r="C3" s="871" t="s">
        <v>120</v>
      </c>
      <c r="D3" s="826" t="s">
        <v>62</v>
      </c>
      <c r="E3" s="828" t="s">
        <v>34</v>
      </c>
      <c r="F3" s="889" t="s">
        <v>95</v>
      </c>
      <c r="G3" s="871" t="s">
        <v>109</v>
      </c>
      <c r="H3" s="871" t="s">
        <v>720</v>
      </c>
      <c r="I3" s="878" t="s">
        <v>901</v>
      </c>
      <c r="J3" s="878" t="s">
        <v>370</v>
      </c>
      <c r="K3" s="852" t="s">
        <v>386</v>
      </c>
    </row>
    <row r="4" spans="2:11">
      <c r="B4" s="866"/>
      <c r="C4" s="872"/>
      <c r="D4" s="827"/>
      <c r="E4" s="829"/>
      <c r="F4" s="835"/>
      <c r="G4" s="872"/>
      <c r="H4" s="872"/>
      <c r="I4" s="879"/>
      <c r="J4" s="879"/>
      <c r="K4" s="829"/>
    </row>
    <row r="5" spans="2:11">
      <c r="B5" s="866"/>
      <c r="C5" s="872"/>
      <c r="D5" s="827"/>
      <c r="E5" s="829"/>
      <c r="F5" s="835"/>
      <c r="G5" s="872"/>
      <c r="H5" s="872"/>
      <c r="I5" s="879"/>
      <c r="J5" s="879"/>
      <c r="K5" s="829"/>
    </row>
    <row r="6" spans="2:11">
      <c r="B6" s="866"/>
      <c r="C6" s="872"/>
      <c r="D6" s="827"/>
      <c r="E6" s="829"/>
      <c r="F6" s="835"/>
      <c r="G6" s="872"/>
      <c r="H6" s="872"/>
      <c r="I6" s="879"/>
      <c r="J6" s="879"/>
      <c r="K6" s="829"/>
    </row>
    <row r="7" spans="2:11">
      <c r="B7" s="866"/>
      <c r="C7" s="872"/>
      <c r="D7" s="827"/>
      <c r="E7" s="829"/>
      <c r="F7" s="835"/>
      <c r="G7" s="872"/>
      <c r="H7" s="872"/>
      <c r="I7" s="879"/>
      <c r="J7" s="879"/>
      <c r="K7" s="829"/>
    </row>
    <row r="8" spans="2:11">
      <c r="B8" s="866"/>
      <c r="C8" s="872"/>
      <c r="D8" s="827"/>
      <c r="E8" s="829"/>
      <c r="F8" s="835"/>
      <c r="G8" s="872"/>
      <c r="H8" s="872"/>
      <c r="I8" s="879"/>
      <c r="J8" s="879"/>
      <c r="K8" s="829"/>
    </row>
    <row r="9" spans="2:11" ht="49.5" customHeight="1">
      <c r="B9" s="866"/>
      <c r="C9" s="872"/>
      <c r="D9" s="827"/>
      <c r="E9" s="829"/>
      <c r="F9" s="835"/>
      <c r="G9" s="872"/>
      <c r="H9" s="872"/>
      <c r="I9" s="879"/>
      <c r="J9" s="879"/>
      <c r="K9" s="829"/>
    </row>
    <row r="10" spans="2:11" ht="84" customHeight="1">
      <c r="B10" s="866"/>
      <c r="C10" s="872"/>
      <c r="D10" s="827"/>
      <c r="E10" s="829"/>
      <c r="F10" s="835"/>
      <c r="G10" s="872"/>
      <c r="H10" s="872"/>
      <c r="I10" s="880"/>
      <c r="J10" s="880"/>
      <c r="K10" s="829"/>
    </row>
    <row r="11" spans="2:11" ht="6" customHeight="1">
      <c r="B11" s="866" t="s">
        <v>437</v>
      </c>
      <c r="C11" s="873" t="s">
        <v>121</v>
      </c>
      <c r="D11" s="847" t="s">
        <v>438</v>
      </c>
      <c r="E11" s="847" t="s">
        <v>28</v>
      </c>
      <c r="F11" s="884" t="s">
        <v>96</v>
      </c>
      <c r="G11" s="873" t="s">
        <v>110</v>
      </c>
      <c r="H11" s="873" t="s">
        <v>721</v>
      </c>
      <c r="I11" s="881" t="s">
        <v>902</v>
      </c>
      <c r="J11" s="881" t="s">
        <v>371</v>
      </c>
      <c r="K11" s="890" t="s">
        <v>387</v>
      </c>
    </row>
    <row r="12" spans="2:11" ht="6" customHeight="1">
      <c r="B12" s="866"/>
      <c r="C12" s="874"/>
      <c r="D12" s="827"/>
      <c r="E12" s="827"/>
      <c r="F12" s="863"/>
      <c r="G12" s="874"/>
      <c r="H12" s="874"/>
      <c r="I12" s="882"/>
      <c r="J12" s="882"/>
      <c r="K12" s="882"/>
    </row>
    <row r="13" spans="2:11" ht="6" customHeight="1">
      <c r="B13" s="866"/>
      <c r="C13" s="874"/>
      <c r="D13" s="827"/>
      <c r="E13" s="827"/>
      <c r="F13" s="863"/>
      <c r="G13" s="874"/>
      <c r="H13" s="874"/>
      <c r="I13" s="882"/>
      <c r="J13" s="882"/>
      <c r="K13" s="882"/>
    </row>
    <row r="14" spans="2:11" ht="6" customHeight="1">
      <c r="B14" s="866"/>
      <c r="C14" s="874"/>
      <c r="D14" s="827"/>
      <c r="E14" s="827"/>
      <c r="F14" s="863"/>
      <c r="G14" s="874"/>
      <c r="H14" s="874"/>
      <c r="I14" s="882"/>
      <c r="J14" s="882"/>
      <c r="K14" s="882"/>
    </row>
    <row r="15" spans="2:11" ht="6" customHeight="1">
      <c r="B15" s="866"/>
      <c r="C15" s="874"/>
      <c r="D15" s="827"/>
      <c r="E15" s="827"/>
      <c r="F15" s="863"/>
      <c r="G15" s="874"/>
      <c r="H15" s="874"/>
      <c r="I15" s="882"/>
      <c r="J15" s="882"/>
      <c r="K15" s="882"/>
    </row>
    <row r="16" spans="2:11" ht="6" customHeight="1">
      <c r="B16" s="866"/>
      <c r="C16" s="874"/>
      <c r="D16" s="827"/>
      <c r="E16" s="827"/>
      <c r="F16" s="863"/>
      <c r="G16" s="874"/>
      <c r="H16" s="874"/>
      <c r="I16" s="882"/>
      <c r="J16" s="882"/>
      <c r="K16" s="882"/>
    </row>
    <row r="17" spans="2:11" ht="6" customHeight="1">
      <c r="B17" s="866"/>
      <c r="C17" s="874"/>
      <c r="D17" s="827"/>
      <c r="E17" s="827"/>
      <c r="F17" s="863"/>
      <c r="G17" s="874"/>
      <c r="H17" s="874"/>
      <c r="I17" s="882"/>
      <c r="J17" s="882"/>
      <c r="K17" s="882"/>
    </row>
    <row r="18" spans="2:11" ht="12.75" customHeight="1" thickBot="1">
      <c r="B18" s="866"/>
      <c r="C18" s="875"/>
      <c r="D18" s="827"/>
      <c r="E18" s="840"/>
      <c r="F18" s="885"/>
      <c r="G18" s="875"/>
      <c r="H18" s="875"/>
      <c r="I18" s="883"/>
      <c r="J18" s="883"/>
      <c r="K18" s="883"/>
    </row>
    <row r="19" spans="2:11" ht="12.75" customHeight="1">
      <c r="B19" s="865" t="s">
        <v>439</v>
      </c>
      <c r="C19" s="876" t="s">
        <v>122</v>
      </c>
      <c r="D19" s="826" t="s">
        <v>63</v>
      </c>
      <c r="E19" s="826" t="s">
        <v>29</v>
      </c>
      <c r="F19" s="862" t="s">
        <v>97</v>
      </c>
      <c r="G19" s="876" t="s">
        <v>111</v>
      </c>
      <c r="H19" s="876" t="s">
        <v>722</v>
      </c>
      <c r="I19" s="888" t="s">
        <v>903</v>
      </c>
      <c r="J19" s="888" t="s">
        <v>372</v>
      </c>
      <c r="K19" s="852" t="s">
        <v>388</v>
      </c>
    </row>
    <row r="20" spans="2:11">
      <c r="B20" s="866"/>
      <c r="C20" s="874"/>
      <c r="D20" s="827"/>
      <c r="E20" s="827"/>
      <c r="F20" s="863"/>
      <c r="G20" s="874"/>
      <c r="H20" s="874"/>
      <c r="I20" s="882"/>
      <c r="J20" s="882"/>
      <c r="K20" s="829"/>
    </row>
    <row r="21" spans="2:11">
      <c r="B21" s="866"/>
      <c r="C21" s="874"/>
      <c r="D21" s="827"/>
      <c r="E21" s="827"/>
      <c r="F21" s="863"/>
      <c r="G21" s="874"/>
      <c r="H21" s="874"/>
      <c r="I21" s="882"/>
      <c r="J21" s="882"/>
      <c r="K21" s="829"/>
    </row>
    <row r="22" spans="2:11">
      <c r="B22" s="866"/>
      <c r="C22" s="874"/>
      <c r="D22" s="827"/>
      <c r="E22" s="827"/>
      <c r="F22" s="863"/>
      <c r="G22" s="874"/>
      <c r="H22" s="874"/>
      <c r="I22" s="882"/>
      <c r="J22" s="882"/>
      <c r="K22" s="829"/>
    </row>
    <row r="23" spans="2:11">
      <c r="B23" s="866"/>
      <c r="C23" s="874"/>
      <c r="D23" s="827"/>
      <c r="E23" s="827"/>
      <c r="F23" s="863"/>
      <c r="G23" s="874"/>
      <c r="H23" s="874"/>
      <c r="I23" s="882"/>
      <c r="J23" s="882"/>
      <c r="K23" s="829"/>
    </row>
    <row r="24" spans="2:11">
      <c r="B24" s="866"/>
      <c r="C24" s="874"/>
      <c r="D24" s="827"/>
      <c r="E24" s="827"/>
      <c r="F24" s="863"/>
      <c r="G24" s="874"/>
      <c r="H24" s="874"/>
      <c r="I24" s="882"/>
      <c r="J24" s="882"/>
      <c r="K24" s="829"/>
    </row>
    <row r="25" spans="2:11">
      <c r="B25" s="866"/>
      <c r="C25" s="874"/>
      <c r="D25" s="827"/>
      <c r="E25" s="827"/>
      <c r="F25" s="863"/>
      <c r="G25" s="874"/>
      <c r="H25" s="874"/>
      <c r="I25" s="882"/>
      <c r="J25" s="882"/>
      <c r="K25" s="829"/>
    </row>
    <row r="26" spans="2:11" ht="64.5" customHeight="1">
      <c r="B26" s="866"/>
      <c r="C26" s="874"/>
      <c r="D26" s="827"/>
      <c r="E26" s="827"/>
      <c r="F26" s="863"/>
      <c r="G26" s="874"/>
      <c r="H26" s="874"/>
      <c r="I26" s="882"/>
      <c r="J26" s="882"/>
      <c r="K26" s="829"/>
    </row>
    <row r="27" spans="2:11" ht="12.75" customHeight="1">
      <c r="B27" s="866" t="s">
        <v>440</v>
      </c>
      <c r="C27" s="877" t="s">
        <v>124</v>
      </c>
      <c r="D27" s="847" t="s">
        <v>441</v>
      </c>
      <c r="E27" s="861" t="s">
        <v>35</v>
      </c>
      <c r="F27" s="834" t="s">
        <v>116</v>
      </c>
      <c r="G27" s="877" t="s">
        <v>112</v>
      </c>
      <c r="H27" s="877" t="s">
        <v>723</v>
      </c>
      <c r="I27" s="886" t="s">
        <v>904</v>
      </c>
      <c r="J27" s="886" t="s">
        <v>373</v>
      </c>
      <c r="K27" s="891" t="s">
        <v>389</v>
      </c>
    </row>
    <row r="28" spans="2:11">
      <c r="B28" s="866"/>
      <c r="C28" s="872"/>
      <c r="D28" s="827"/>
      <c r="E28" s="829"/>
      <c r="F28" s="835"/>
      <c r="G28" s="872"/>
      <c r="H28" s="872"/>
      <c r="I28" s="887"/>
      <c r="J28" s="887"/>
      <c r="K28" s="887"/>
    </row>
    <row r="29" spans="2:11">
      <c r="B29" s="866"/>
      <c r="C29" s="872"/>
      <c r="D29" s="827"/>
      <c r="E29" s="829"/>
      <c r="F29" s="835"/>
      <c r="G29" s="872"/>
      <c r="H29" s="872"/>
      <c r="I29" s="887"/>
      <c r="J29" s="887"/>
      <c r="K29" s="887"/>
    </row>
    <row r="30" spans="2:11">
      <c r="B30" s="866"/>
      <c r="C30" s="872"/>
      <c r="D30" s="827"/>
      <c r="E30" s="829"/>
      <c r="F30" s="835"/>
      <c r="G30" s="872"/>
      <c r="H30" s="872"/>
      <c r="I30" s="887"/>
      <c r="J30" s="887"/>
      <c r="K30" s="887"/>
    </row>
    <row r="31" spans="2:11">
      <c r="B31" s="866"/>
      <c r="C31" s="872"/>
      <c r="D31" s="827"/>
      <c r="E31" s="829"/>
      <c r="F31" s="835"/>
      <c r="G31" s="872"/>
      <c r="H31" s="872"/>
      <c r="I31" s="887"/>
      <c r="J31" s="887"/>
      <c r="K31" s="887"/>
    </row>
    <row r="32" spans="2:11">
      <c r="B32" s="866"/>
      <c r="C32" s="872"/>
      <c r="D32" s="827"/>
      <c r="E32" s="829"/>
      <c r="F32" s="835"/>
      <c r="G32" s="872"/>
      <c r="H32" s="872"/>
      <c r="I32" s="887"/>
      <c r="J32" s="887"/>
      <c r="K32" s="887"/>
    </row>
    <row r="33" spans="2:11">
      <c r="B33" s="866"/>
      <c r="C33" s="872"/>
      <c r="D33" s="827"/>
      <c r="E33" s="829"/>
      <c r="F33" s="835"/>
      <c r="G33" s="872"/>
      <c r="H33" s="872"/>
      <c r="I33" s="887"/>
      <c r="J33" s="887"/>
      <c r="K33" s="887"/>
    </row>
    <row r="34" spans="2:11" ht="28.5" customHeight="1">
      <c r="B34" s="866"/>
      <c r="C34" s="872"/>
      <c r="D34" s="827"/>
      <c r="E34" s="829"/>
      <c r="F34" s="835"/>
      <c r="G34" s="872"/>
      <c r="H34" s="872"/>
      <c r="I34" s="887"/>
      <c r="J34" s="887"/>
      <c r="K34" s="887"/>
    </row>
    <row r="35" spans="2:11" ht="12.75" customHeight="1">
      <c r="B35" s="866" t="s">
        <v>442</v>
      </c>
      <c r="C35" s="861" t="s">
        <v>123</v>
      </c>
      <c r="D35" s="847" t="s">
        <v>443</v>
      </c>
      <c r="E35" s="861" t="s">
        <v>576</v>
      </c>
      <c r="F35" s="864" t="s">
        <v>98</v>
      </c>
      <c r="G35" s="861" t="s">
        <v>113</v>
      </c>
      <c r="H35" s="861" t="s">
        <v>724</v>
      </c>
      <c r="I35" s="861" t="s">
        <v>905</v>
      </c>
      <c r="J35" s="861" t="s">
        <v>374</v>
      </c>
      <c r="K35" s="851" t="s">
        <v>390</v>
      </c>
    </row>
    <row r="36" spans="2:11">
      <c r="B36" s="866"/>
      <c r="C36" s="829"/>
      <c r="D36" s="827"/>
      <c r="E36" s="829"/>
      <c r="F36" s="832"/>
      <c r="G36" s="829"/>
      <c r="H36" s="829"/>
      <c r="I36" s="829"/>
      <c r="J36" s="829"/>
      <c r="K36" s="829"/>
    </row>
    <row r="37" spans="2:11">
      <c r="B37" s="866"/>
      <c r="C37" s="829"/>
      <c r="D37" s="827"/>
      <c r="E37" s="829"/>
      <c r="F37" s="832"/>
      <c r="G37" s="829"/>
      <c r="H37" s="829"/>
      <c r="I37" s="829"/>
      <c r="J37" s="829"/>
      <c r="K37" s="829"/>
    </row>
    <row r="38" spans="2:11">
      <c r="B38" s="866"/>
      <c r="C38" s="829"/>
      <c r="D38" s="827"/>
      <c r="E38" s="829"/>
      <c r="F38" s="832"/>
      <c r="G38" s="829"/>
      <c r="H38" s="829"/>
      <c r="I38" s="829"/>
      <c r="J38" s="829"/>
      <c r="K38" s="829"/>
    </row>
    <row r="39" spans="2:11">
      <c r="B39" s="866"/>
      <c r="C39" s="829"/>
      <c r="D39" s="827"/>
      <c r="E39" s="829"/>
      <c r="F39" s="832"/>
      <c r="G39" s="829"/>
      <c r="H39" s="829"/>
      <c r="I39" s="829"/>
      <c r="J39" s="829"/>
      <c r="K39" s="829"/>
    </row>
    <row r="40" spans="2:11">
      <c r="B40" s="866"/>
      <c r="C40" s="829"/>
      <c r="D40" s="827"/>
      <c r="E40" s="829"/>
      <c r="F40" s="832"/>
      <c r="G40" s="829"/>
      <c r="H40" s="829"/>
      <c r="I40" s="829"/>
      <c r="J40" s="829"/>
      <c r="K40" s="829"/>
    </row>
    <row r="41" spans="2:11">
      <c r="B41" s="866"/>
      <c r="C41" s="829"/>
      <c r="D41" s="827"/>
      <c r="E41" s="829"/>
      <c r="F41" s="832"/>
      <c r="G41" s="829"/>
      <c r="H41" s="829"/>
      <c r="I41" s="829"/>
      <c r="J41" s="829"/>
      <c r="K41" s="829"/>
    </row>
    <row r="42" spans="2:11" ht="13.5" thickBot="1">
      <c r="B42" s="867"/>
      <c r="C42" s="830"/>
      <c r="D42" s="840"/>
      <c r="E42" s="830"/>
      <c r="F42" s="833"/>
      <c r="G42" s="830"/>
      <c r="H42" s="830"/>
      <c r="I42" s="830"/>
      <c r="J42" s="830"/>
      <c r="K42" s="830"/>
    </row>
    <row r="43" spans="2:11" ht="41.25" customHeight="1">
      <c r="B43" s="865" t="s">
        <v>444</v>
      </c>
      <c r="C43" s="828" t="s">
        <v>666</v>
      </c>
      <c r="D43" s="826" t="s">
        <v>541</v>
      </c>
      <c r="E43" s="828" t="s">
        <v>266</v>
      </c>
      <c r="F43" s="831" t="s">
        <v>99</v>
      </c>
      <c r="G43" s="828" t="s">
        <v>114</v>
      </c>
      <c r="H43" s="828" t="s">
        <v>101</v>
      </c>
      <c r="I43" s="828" t="s">
        <v>906</v>
      </c>
      <c r="J43" s="828" t="s">
        <v>375</v>
      </c>
      <c r="K43" s="852" t="s">
        <v>64</v>
      </c>
    </row>
    <row r="44" spans="2:11" ht="45" customHeight="1">
      <c r="B44" s="866"/>
      <c r="C44" s="829"/>
      <c r="D44" s="827"/>
      <c r="E44" s="829"/>
      <c r="F44" s="832"/>
      <c r="G44" s="829"/>
      <c r="H44" s="829"/>
      <c r="I44" s="829"/>
      <c r="J44" s="829"/>
      <c r="K44" s="829"/>
    </row>
    <row r="45" spans="2:11" ht="38.25" customHeight="1">
      <c r="B45" s="866"/>
      <c r="C45" s="829"/>
      <c r="D45" s="827"/>
      <c r="E45" s="829"/>
      <c r="F45" s="832"/>
      <c r="G45" s="829"/>
      <c r="H45" s="829"/>
      <c r="I45" s="829"/>
      <c r="J45" s="829"/>
      <c r="K45" s="829"/>
    </row>
    <row r="46" spans="2:11" ht="33.75" customHeight="1">
      <c r="B46" s="866"/>
      <c r="C46" s="829"/>
      <c r="D46" s="827"/>
      <c r="E46" s="829"/>
      <c r="F46" s="832"/>
      <c r="G46" s="829"/>
      <c r="H46" s="829"/>
      <c r="I46" s="829"/>
      <c r="J46" s="829"/>
      <c r="K46" s="829"/>
    </row>
    <row r="47" spans="2:11" ht="17.25" customHeight="1">
      <c r="B47" s="866"/>
      <c r="C47" s="829"/>
      <c r="D47" s="827"/>
      <c r="E47" s="829"/>
      <c r="F47" s="832"/>
      <c r="G47" s="829"/>
      <c r="H47" s="829"/>
      <c r="I47" s="829"/>
      <c r="J47" s="829"/>
      <c r="K47" s="829"/>
    </row>
    <row r="48" spans="2:11" ht="24" customHeight="1">
      <c r="B48" s="866"/>
      <c r="C48" s="829"/>
      <c r="D48" s="827"/>
      <c r="E48" s="829"/>
      <c r="F48" s="832"/>
      <c r="G48" s="829"/>
      <c r="H48" s="829"/>
      <c r="I48" s="829"/>
      <c r="J48" s="829"/>
      <c r="K48" s="829"/>
    </row>
    <row r="49" spans="2:11">
      <c r="B49" s="866"/>
      <c r="C49" s="829"/>
      <c r="D49" s="827"/>
      <c r="E49" s="829"/>
      <c r="F49" s="832"/>
      <c r="G49" s="829"/>
      <c r="H49" s="829"/>
      <c r="I49" s="829"/>
      <c r="J49" s="829"/>
      <c r="K49" s="829"/>
    </row>
    <row r="50" spans="2:11" ht="44.25" customHeight="1" thickBot="1">
      <c r="B50" s="866"/>
      <c r="C50" s="829"/>
      <c r="D50" s="827"/>
      <c r="E50" s="829"/>
      <c r="F50" s="832"/>
      <c r="G50" s="830"/>
      <c r="H50" s="829"/>
      <c r="I50" s="829"/>
      <c r="J50" s="829"/>
      <c r="K50" s="829"/>
    </row>
    <row r="51" spans="2:11" ht="6.75" customHeight="1">
      <c r="B51" s="866" t="s">
        <v>445</v>
      </c>
      <c r="C51" s="837" t="s">
        <v>529</v>
      </c>
      <c r="D51" s="860" t="s">
        <v>530</v>
      </c>
      <c r="E51" s="837" t="s">
        <v>531</v>
      </c>
      <c r="F51" s="864" t="s">
        <v>532</v>
      </c>
      <c r="G51" s="837" t="s">
        <v>533</v>
      </c>
      <c r="H51" s="837" t="s">
        <v>534</v>
      </c>
      <c r="I51" s="837" t="s">
        <v>535</v>
      </c>
      <c r="J51" s="837" t="s">
        <v>536</v>
      </c>
      <c r="K51" s="851" t="s">
        <v>537</v>
      </c>
    </row>
    <row r="52" spans="2:11" ht="6.75" customHeight="1">
      <c r="B52" s="866"/>
      <c r="C52" s="829"/>
      <c r="D52" s="827"/>
      <c r="E52" s="829"/>
      <c r="F52" s="832"/>
      <c r="G52" s="829"/>
      <c r="H52" s="829"/>
      <c r="I52" s="829"/>
      <c r="J52" s="829"/>
      <c r="K52" s="829"/>
    </row>
    <row r="53" spans="2:11" ht="6.75" customHeight="1">
      <c r="B53" s="866"/>
      <c r="C53" s="829"/>
      <c r="D53" s="827"/>
      <c r="E53" s="829"/>
      <c r="F53" s="832"/>
      <c r="G53" s="829"/>
      <c r="H53" s="829"/>
      <c r="I53" s="829"/>
      <c r="J53" s="829"/>
      <c r="K53" s="829"/>
    </row>
    <row r="54" spans="2:11" ht="6.75" customHeight="1">
      <c r="B54" s="866"/>
      <c r="C54" s="829"/>
      <c r="D54" s="827"/>
      <c r="E54" s="829"/>
      <c r="F54" s="832"/>
      <c r="G54" s="829"/>
      <c r="H54" s="829"/>
      <c r="I54" s="829"/>
      <c r="J54" s="829"/>
      <c r="K54" s="829"/>
    </row>
    <row r="55" spans="2:11" ht="6.75" customHeight="1">
      <c r="B55" s="866"/>
      <c r="C55" s="829"/>
      <c r="D55" s="827"/>
      <c r="E55" s="829"/>
      <c r="F55" s="832"/>
      <c r="G55" s="829"/>
      <c r="H55" s="829"/>
      <c r="I55" s="829"/>
      <c r="J55" s="829"/>
      <c r="K55" s="829"/>
    </row>
    <row r="56" spans="2:11" ht="6.75" customHeight="1">
      <c r="B56" s="866"/>
      <c r="C56" s="829"/>
      <c r="D56" s="827"/>
      <c r="E56" s="829"/>
      <c r="F56" s="832"/>
      <c r="G56" s="829"/>
      <c r="H56" s="829"/>
      <c r="I56" s="829"/>
      <c r="J56" s="829"/>
      <c r="K56" s="829"/>
    </row>
    <row r="57" spans="2:11" ht="6.75" customHeight="1">
      <c r="B57" s="866"/>
      <c r="C57" s="829"/>
      <c r="D57" s="827"/>
      <c r="E57" s="829"/>
      <c r="F57" s="832"/>
      <c r="G57" s="829"/>
      <c r="H57" s="829"/>
      <c r="I57" s="829"/>
      <c r="J57" s="829"/>
      <c r="K57" s="829"/>
    </row>
    <row r="58" spans="2:11" ht="6.75" customHeight="1" thickBot="1">
      <c r="B58" s="866"/>
      <c r="C58" s="830"/>
      <c r="D58" s="827"/>
      <c r="E58" s="829"/>
      <c r="F58" s="832"/>
      <c r="G58" s="829"/>
      <c r="H58" s="830"/>
      <c r="I58" s="830"/>
      <c r="J58" s="830"/>
      <c r="K58" s="830"/>
    </row>
    <row r="59" spans="2:11" ht="12.75" customHeight="1">
      <c r="B59" s="866" t="s">
        <v>446</v>
      </c>
      <c r="C59" s="828" t="s">
        <v>660</v>
      </c>
      <c r="D59" s="847" t="s">
        <v>447</v>
      </c>
      <c r="E59" s="837" t="s">
        <v>528</v>
      </c>
      <c r="F59" s="834" t="s">
        <v>290</v>
      </c>
      <c r="G59" s="861" t="s">
        <v>463</v>
      </c>
      <c r="H59" s="828" t="s">
        <v>102</v>
      </c>
      <c r="I59" s="853" t="s">
        <v>907</v>
      </c>
      <c r="J59" s="853" t="s">
        <v>376</v>
      </c>
      <c r="K59" s="852" t="s">
        <v>65</v>
      </c>
    </row>
    <row r="60" spans="2:11">
      <c r="B60" s="866"/>
      <c r="C60" s="829"/>
      <c r="D60" s="827"/>
      <c r="E60" s="829"/>
      <c r="F60" s="835"/>
      <c r="G60" s="829"/>
      <c r="H60" s="829"/>
      <c r="I60" s="854"/>
      <c r="J60" s="854"/>
      <c r="K60" s="829"/>
    </row>
    <row r="61" spans="2:11">
      <c r="B61" s="866"/>
      <c r="C61" s="829"/>
      <c r="D61" s="827"/>
      <c r="E61" s="829"/>
      <c r="F61" s="835"/>
      <c r="G61" s="829"/>
      <c r="H61" s="829"/>
      <c r="I61" s="854"/>
      <c r="J61" s="854"/>
      <c r="K61" s="829"/>
    </row>
    <row r="62" spans="2:11">
      <c r="B62" s="866"/>
      <c r="C62" s="829"/>
      <c r="D62" s="827"/>
      <c r="E62" s="829"/>
      <c r="F62" s="835"/>
      <c r="G62" s="829"/>
      <c r="H62" s="829"/>
      <c r="I62" s="854"/>
      <c r="J62" s="854"/>
      <c r="K62" s="829"/>
    </row>
    <row r="63" spans="2:11">
      <c r="B63" s="866"/>
      <c r="C63" s="829"/>
      <c r="D63" s="827"/>
      <c r="E63" s="829"/>
      <c r="F63" s="835"/>
      <c r="G63" s="829"/>
      <c r="H63" s="829"/>
      <c r="I63" s="854"/>
      <c r="J63" s="854"/>
      <c r="K63" s="829"/>
    </row>
    <row r="64" spans="2:11">
      <c r="B64" s="866"/>
      <c r="C64" s="829"/>
      <c r="D64" s="827"/>
      <c r="E64" s="829"/>
      <c r="F64" s="835"/>
      <c r="G64" s="829"/>
      <c r="H64" s="829"/>
      <c r="I64" s="854"/>
      <c r="J64" s="854"/>
      <c r="K64" s="829"/>
    </row>
    <row r="65" spans="2:11">
      <c r="B65" s="866"/>
      <c r="C65" s="829"/>
      <c r="D65" s="827"/>
      <c r="E65" s="829"/>
      <c r="F65" s="835"/>
      <c r="G65" s="829"/>
      <c r="H65" s="829"/>
      <c r="I65" s="854"/>
      <c r="J65" s="854"/>
      <c r="K65" s="829"/>
    </row>
    <row r="66" spans="2:11" ht="13.5" thickBot="1">
      <c r="B66" s="867"/>
      <c r="C66" s="830"/>
      <c r="D66" s="840"/>
      <c r="E66" s="830"/>
      <c r="F66" s="836"/>
      <c r="G66" s="830"/>
      <c r="H66" s="830"/>
      <c r="I66" s="855"/>
      <c r="J66" s="855"/>
      <c r="K66" s="830"/>
    </row>
    <row r="67" spans="2:11" ht="21" customHeight="1">
      <c r="B67" s="865" t="s">
        <v>224</v>
      </c>
      <c r="C67" s="841" t="s">
        <v>127</v>
      </c>
      <c r="D67" s="826" t="s">
        <v>542</v>
      </c>
      <c r="E67" s="828" t="s">
        <v>577</v>
      </c>
      <c r="F67" s="831" t="s">
        <v>100</v>
      </c>
      <c r="G67" s="828" t="s">
        <v>675</v>
      </c>
      <c r="H67" s="828" t="s">
        <v>103</v>
      </c>
      <c r="I67" s="828" t="s">
        <v>908</v>
      </c>
      <c r="J67" s="828" t="s">
        <v>377</v>
      </c>
      <c r="K67" s="850" t="s">
        <v>66</v>
      </c>
    </row>
    <row r="68" spans="2:11" ht="21" customHeight="1">
      <c r="B68" s="866"/>
      <c r="C68" s="829"/>
      <c r="D68" s="827"/>
      <c r="E68" s="829"/>
      <c r="F68" s="832"/>
      <c r="G68" s="829"/>
      <c r="H68" s="829"/>
      <c r="I68" s="829"/>
      <c r="J68" s="829"/>
      <c r="K68" s="829"/>
    </row>
    <row r="69" spans="2:11" ht="21" customHeight="1">
      <c r="B69" s="866"/>
      <c r="C69" s="829"/>
      <c r="D69" s="827"/>
      <c r="E69" s="829"/>
      <c r="F69" s="832"/>
      <c r="G69" s="829"/>
      <c r="H69" s="829"/>
      <c r="I69" s="829"/>
      <c r="J69" s="829"/>
      <c r="K69" s="829"/>
    </row>
    <row r="70" spans="2:11" ht="21" customHeight="1">
      <c r="B70" s="866"/>
      <c r="C70" s="829"/>
      <c r="D70" s="827"/>
      <c r="E70" s="829"/>
      <c r="F70" s="832"/>
      <c r="G70" s="829"/>
      <c r="H70" s="829"/>
      <c r="I70" s="829"/>
      <c r="J70" s="829"/>
      <c r="K70" s="829"/>
    </row>
    <row r="71" spans="2:11" ht="21" customHeight="1">
      <c r="B71" s="866"/>
      <c r="C71" s="829"/>
      <c r="D71" s="827"/>
      <c r="E71" s="829"/>
      <c r="F71" s="832"/>
      <c r="G71" s="829"/>
      <c r="H71" s="829"/>
      <c r="I71" s="829"/>
      <c r="J71" s="829"/>
      <c r="K71" s="829"/>
    </row>
    <row r="72" spans="2:11" ht="21" customHeight="1">
      <c r="B72" s="866"/>
      <c r="C72" s="829"/>
      <c r="D72" s="827"/>
      <c r="E72" s="829"/>
      <c r="F72" s="832"/>
      <c r="G72" s="829"/>
      <c r="H72" s="829"/>
      <c r="I72" s="829"/>
      <c r="J72" s="829"/>
      <c r="K72" s="829"/>
    </row>
    <row r="73" spans="2:11" ht="21" customHeight="1">
      <c r="B73" s="866"/>
      <c r="C73" s="829"/>
      <c r="D73" s="827"/>
      <c r="E73" s="829"/>
      <c r="F73" s="832"/>
      <c r="G73" s="829"/>
      <c r="H73" s="829"/>
      <c r="I73" s="829"/>
      <c r="J73" s="829"/>
      <c r="K73" s="829"/>
    </row>
    <row r="74" spans="2:11" ht="34.5" customHeight="1" thickBot="1">
      <c r="B74" s="867"/>
      <c r="C74" s="830"/>
      <c r="D74" s="840"/>
      <c r="E74" s="830"/>
      <c r="F74" s="833"/>
      <c r="G74" s="830"/>
      <c r="H74" s="830"/>
      <c r="I74" s="830"/>
      <c r="J74" s="830"/>
      <c r="K74" s="830"/>
    </row>
    <row r="75" spans="2:11" ht="28.5" customHeight="1">
      <c r="B75" s="865" t="s">
        <v>448</v>
      </c>
      <c r="C75" s="826" t="s">
        <v>125</v>
      </c>
      <c r="D75" s="826" t="s">
        <v>543</v>
      </c>
      <c r="E75" s="828" t="s">
        <v>578</v>
      </c>
      <c r="F75" s="831" t="s">
        <v>520</v>
      </c>
      <c r="G75" s="828" t="s">
        <v>674</v>
      </c>
      <c r="H75" s="826" t="s">
        <v>104</v>
      </c>
      <c r="I75" s="826" t="s">
        <v>0</v>
      </c>
      <c r="J75" s="826" t="s">
        <v>378</v>
      </c>
      <c r="K75" s="850" t="s">
        <v>67</v>
      </c>
    </row>
    <row r="76" spans="2:11" ht="28.5" customHeight="1">
      <c r="B76" s="866"/>
      <c r="C76" s="827"/>
      <c r="D76" s="827"/>
      <c r="E76" s="829"/>
      <c r="F76" s="832"/>
      <c r="G76" s="829"/>
      <c r="H76" s="827"/>
      <c r="I76" s="827"/>
      <c r="J76" s="827"/>
      <c r="K76" s="829"/>
    </row>
    <row r="77" spans="2:11" ht="28.5" customHeight="1">
      <c r="B77" s="866"/>
      <c r="C77" s="827"/>
      <c r="D77" s="827"/>
      <c r="E77" s="829"/>
      <c r="F77" s="832"/>
      <c r="G77" s="829"/>
      <c r="H77" s="827"/>
      <c r="I77" s="827"/>
      <c r="J77" s="827"/>
      <c r="K77" s="829"/>
    </row>
    <row r="78" spans="2:11" ht="28.5" customHeight="1">
      <c r="B78" s="866"/>
      <c r="C78" s="827"/>
      <c r="D78" s="827"/>
      <c r="E78" s="829"/>
      <c r="F78" s="832"/>
      <c r="G78" s="829"/>
      <c r="H78" s="827"/>
      <c r="I78" s="827"/>
      <c r="J78" s="827"/>
      <c r="K78" s="829"/>
    </row>
    <row r="79" spans="2:11" ht="40.5" customHeight="1">
      <c r="B79" s="866"/>
      <c r="C79" s="827"/>
      <c r="D79" s="827"/>
      <c r="E79" s="829"/>
      <c r="F79" s="832"/>
      <c r="G79" s="829"/>
      <c r="H79" s="827"/>
      <c r="I79" s="827"/>
      <c r="J79" s="827"/>
      <c r="K79" s="829"/>
    </row>
    <row r="80" spans="2:11" ht="28.5" customHeight="1">
      <c r="B80" s="866"/>
      <c r="C80" s="827"/>
      <c r="D80" s="827"/>
      <c r="E80" s="829"/>
      <c r="F80" s="832"/>
      <c r="G80" s="829"/>
      <c r="H80" s="827"/>
      <c r="I80" s="827"/>
      <c r="J80" s="827"/>
      <c r="K80" s="829"/>
    </row>
    <row r="81" spans="1:11" ht="28.5" customHeight="1">
      <c r="B81" s="866"/>
      <c r="C81" s="827"/>
      <c r="D81" s="827"/>
      <c r="E81" s="829"/>
      <c r="F81" s="832"/>
      <c r="G81" s="829"/>
      <c r="H81" s="827"/>
      <c r="I81" s="827"/>
      <c r="J81" s="827"/>
      <c r="K81" s="829"/>
    </row>
    <row r="82" spans="1:11" ht="74.25" customHeight="1" thickBot="1">
      <c r="B82" s="866"/>
      <c r="C82" s="840"/>
      <c r="D82" s="827"/>
      <c r="E82" s="830"/>
      <c r="F82" s="833"/>
      <c r="G82" s="830"/>
      <c r="H82" s="840"/>
      <c r="I82" s="840"/>
      <c r="J82" s="840"/>
      <c r="K82" s="830"/>
    </row>
    <row r="83" spans="1:11" ht="19.5" customHeight="1">
      <c r="B83" s="866" t="s">
        <v>588</v>
      </c>
      <c r="C83" s="823" t="s">
        <v>128</v>
      </c>
      <c r="D83" s="847" t="s">
        <v>589</v>
      </c>
      <c r="E83" s="845" t="s">
        <v>30</v>
      </c>
      <c r="F83" s="842" t="s">
        <v>33</v>
      </c>
      <c r="G83" s="845" t="s">
        <v>464</v>
      </c>
      <c r="H83" s="823" t="s">
        <v>719</v>
      </c>
      <c r="I83" s="823" t="s">
        <v>1</v>
      </c>
      <c r="J83" s="823" t="s">
        <v>379</v>
      </c>
      <c r="K83" s="858" t="s">
        <v>68</v>
      </c>
    </row>
    <row r="84" spans="1:11">
      <c r="B84" s="866"/>
      <c r="C84" s="824"/>
      <c r="D84" s="827"/>
      <c r="E84" s="827"/>
      <c r="F84" s="843"/>
      <c r="G84" s="827"/>
      <c r="H84" s="824"/>
      <c r="I84" s="824"/>
      <c r="J84" s="824"/>
      <c r="K84" s="824"/>
    </row>
    <row r="85" spans="1:11">
      <c r="B85" s="866"/>
      <c r="C85" s="824"/>
      <c r="D85" s="827"/>
      <c r="E85" s="827"/>
      <c r="F85" s="843"/>
      <c r="G85" s="827"/>
      <c r="H85" s="824"/>
      <c r="I85" s="824"/>
      <c r="J85" s="824"/>
      <c r="K85" s="824"/>
    </row>
    <row r="86" spans="1:11">
      <c r="B86" s="866"/>
      <c r="C86" s="824"/>
      <c r="D86" s="827"/>
      <c r="E86" s="827"/>
      <c r="F86" s="843"/>
      <c r="G86" s="827"/>
      <c r="H86" s="824"/>
      <c r="I86" s="824"/>
      <c r="J86" s="824"/>
      <c r="K86" s="824"/>
    </row>
    <row r="87" spans="1:11">
      <c r="B87" s="866"/>
      <c r="C87" s="824"/>
      <c r="D87" s="827"/>
      <c r="E87" s="827"/>
      <c r="F87" s="843"/>
      <c r="G87" s="827"/>
      <c r="H87" s="824"/>
      <c r="I87" s="824"/>
      <c r="J87" s="824"/>
      <c r="K87" s="824"/>
    </row>
    <row r="88" spans="1:11">
      <c r="B88" s="866"/>
      <c r="C88" s="824"/>
      <c r="D88" s="827"/>
      <c r="E88" s="827"/>
      <c r="F88" s="843"/>
      <c r="G88" s="827"/>
      <c r="H88" s="824"/>
      <c r="I88" s="824"/>
      <c r="J88" s="824"/>
      <c r="K88" s="824"/>
    </row>
    <row r="89" spans="1:11">
      <c r="B89" s="866"/>
      <c r="C89" s="824"/>
      <c r="D89" s="827"/>
      <c r="E89" s="827"/>
      <c r="F89" s="843"/>
      <c r="G89" s="827"/>
      <c r="H89" s="824"/>
      <c r="I89" s="824"/>
      <c r="J89" s="824"/>
      <c r="K89" s="824"/>
    </row>
    <row r="90" spans="1:11" ht="13.5" thickBot="1">
      <c r="B90" s="866"/>
      <c r="C90" s="825"/>
      <c r="D90" s="846"/>
      <c r="E90" s="846"/>
      <c r="F90" s="844"/>
      <c r="G90" s="846"/>
      <c r="H90" s="825"/>
      <c r="I90" s="825"/>
      <c r="J90" s="825"/>
      <c r="K90" s="825"/>
    </row>
    <row r="91" spans="1:11" ht="12.75" customHeight="1">
      <c r="A91" s="316"/>
      <c r="B91" s="870" t="s">
        <v>590</v>
      </c>
      <c r="C91" s="826" t="s">
        <v>129</v>
      </c>
      <c r="D91" s="826" t="s">
        <v>544</v>
      </c>
      <c r="E91" s="828" t="s">
        <v>579</v>
      </c>
      <c r="F91" s="831" t="s">
        <v>521</v>
      </c>
      <c r="G91" s="850" t="s">
        <v>669</v>
      </c>
      <c r="H91" s="826" t="s">
        <v>105</v>
      </c>
      <c r="I91" s="826" t="s">
        <v>2</v>
      </c>
      <c r="J91" s="826" t="s">
        <v>380</v>
      </c>
      <c r="K91" s="850" t="s">
        <v>69</v>
      </c>
    </row>
    <row r="92" spans="1:11" ht="37.5" customHeight="1">
      <c r="A92" s="317"/>
      <c r="B92" s="868"/>
      <c r="C92" s="827"/>
      <c r="D92" s="827"/>
      <c r="E92" s="829"/>
      <c r="F92" s="832"/>
      <c r="G92" s="824"/>
      <c r="H92" s="827"/>
      <c r="I92" s="827"/>
      <c r="J92" s="827"/>
      <c r="K92" s="829"/>
    </row>
    <row r="93" spans="1:11">
      <c r="A93" s="317"/>
      <c r="B93" s="868"/>
      <c r="C93" s="827"/>
      <c r="D93" s="827"/>
      <c r="E93" s="829"/>
      <c r="F93" s="832"/>
      <c r="G93" s="824"/>
      <c r="H93" s="827"/>
      <c r="I93" s="827"/>
      <c r="J93" s="827"/>
      <c r="K93" s="829"/>
    </row>
    <row r="94" spans="1:11" ht="29.25" customHeight="1">
      <c r="A94" s="317"/>
      <c r="B94" s="868"/>
      <c r="C94" s="827"/>
      <c r="D94" s="827"/>
      <c r="E94" s="829"/>
      <c r="F94" s="832"/>
      <c r="G94" s="824"/>
      <c r="H94" s="827"/>
      <c r="I94" s="827"/>
      <c r="J94" s="827"/>
      <c r="K94" s="829"/>
    </row>
    <row r="95" spans="1:11" ht="33.75" customHeight="1">
      <c r="A95" s="317"/>
      <c r="B95" s="868"/>
      <c r="C95" s="827"/>
      <c r="D95" s="827"/>
      <c r="E95" s="829"/>
      <c r="F95" s="832"/>
      <c r="G95" s="824"/>
      <c r="H95" s="827"/>
      <c r="I95" s="827"/>
      <c r="J95" s="827"/>
      <c r="K95" s="829"/>
    </row>
    <row r="96" spans="1:11" ht="30.75" customHeight="1">
      <c r="A96" s="317"/>
      <c r="B96" s="868"/>
      <c r="C96" s="827"/>
      <c r="D96" s="827"/>
      <c r="E96" s="829"/>
      <c r="F96" s="832"/>
      <c r="G96" s="824"/>
      <c r="H96" s="827"/>
      <c r="I96" s="827"/>
      <c r="J96" s="827"/>
      <c r="K96" s="829"/>
    </row>
    <row r="97" spans="1:11" ht="30.75" customHeight="1">
      <c r="A97" s="317"/>
      <c r="B97" s="868"/>
      <c r="C97" s="827"/>
      <c r="D97" s="827"/>
      <c r="E97" s="829"/>
      <c r="F97" s="832"/>
      <c r="G97" s="824"/>
      <c r="H97" s="827"/>
      <c r="I97" s="827"/>
      <c r="J97" s="827"/>
      <c r="K97" s="829"/>
    </row>
    <row r="98" spans="1:11" ht="51.75" customHeight="1" thickBot="1">
      <c r="A98" s="317"/>
      <c r="B98" s="868"/>
      <c r="C98" s="827"/>
      <c r="D98" s="827"/>
      <c r="E98" s="829"/>
      <c r="F98" s="832"/>
      <c r="G98" s="824"/>
      <c r="H98" s="827"/>
      <c r="I98" s="827"/>
      <c r="J98" s="827"/>
      <c r="K98" s="830"/>
    </row>
    <row r="99" spans="1:11" ht="12.75" customHeight="1">
      <c r="A99" s="317"/>
      <c r="B99" s="868" t="s">
        <v>591</v>
      </c>
      <c r="C99" s="837" t="s">
        <v>130</v>
      </c>
      <c r="D99" s="847" t="s">
        <v>592</v>
      </c>
      <c r="E99" s="847" t="s">
        <v>593</v>
      </c>
      <c r="F99" s="848" t="s">
        <v>419</v>
      </c>
      <c r="G99" s="847" t="s">
        <v>465</v>
      </c>
      <c r="H99" s="837" t="s">
        <v>106</v>
      </c>
      <c r="I99" s="859" t="s">
        <v>3</v>
      </c>
      <c r="J99" s="859" t="s">
        <v>381</v>
      </c>
      <c r="K99" s="851" t="s">
        <v>70</v>
      </c>
    </row>
    <row r="100" spans="1:11">
      <c r="A100" s="317"/>
      <c r="B100" s="868"/>
      <c r="C100" s="838"/>
      <c r="D100" s="827"/>
      <c r="E100" s="827"/>
      <c r="F100" s="843"/>
      <c r="G100" s="827"/>
      <c r="H100" s="838"/>
      <c r="I100" s="856"/>
      <c r="J100" s="856"/>
      <c r="K100" s="856"/>
    </row>
    <row r="101" spans="1:11" ht="7.5" customHeight="1">
      <c r="A101" s="317"/>
      <c r="B101" s="868"/>
      <c r="C101" s="838"/>
      <c r="D101" s="827"/>
      <c r="E101" s="827"/>
      <c r="F101" s="843"/>
      <c r="G101" s="827"/>
      <c r="H101" s="838"/>
      <c r="I101" s="856"/>
      <c r="J101" s="856"/>
      <c r="K101" s="856"/>
    </row>
    <row r="102" spans="1:11" ht="11.25" customHeight="1">
      <c r="A102" s="317"/>
      <c r="B102" s="868"/>
      <c r="C102" s="838"/>
      <c r="D102" s="827"/>
      <c r="E102" s="827"/>
      <c r="F102" s="843"/>
      <c r="G102" s="827"/>
      <c r="H102" s="838"/>
      <c r="I102" s="856"/>
      <c r="J102" s="856"/>
      <c r="K102" s="856"/>
    </row>
    <row r="103" spans="1:11" ht="5.25" hidden="1" customHeight="1">
      <c r="A103" s="317"/>
      <c r="B103" s="868"/>
      <c r="C103" s="838"/>
      <c r="D103" s="827"/>
      <c r="E103" s="827"/>
      <c r="F103" s="843"/>
      <c r="G103" s="827"/>
      <c r="H103" s="838"/>
      <c r="I103" s="856"/>
      <c r="J103" s="856"/>
      <c r="K103" s="856"/>
    </row>
    <row r="104" spans="1:11" ht="6.75" hidden="1" customHeight="1">
      <c r="A104" s="317"/>
      <c r="B104" s="868"/>
      <c r="C104" s="838"/>
      <c r="D104" s="827"/>
      <c r="E104" s="827"/>
      <c r="F104" s="843"/>
      <c r="G104" s="827"/>
      <c r="H104" s="838"/>
      <c r="I104" s="856"/>
      <c r="J104" s="856"/>
      <c r="K104" s="856"/>
    </row>
    <row r="105" spans="1:11" ht="12.75" hidden="1" customHeight="1">
      <c r="A105" s="317"/>
      <c r="B105" s="868"/>
      <c r="C105" s="838"/>
      <c r="D105" s="827"/>
      <c r="E105" s="827"/>
      <c r="F105" s="843"/>
      <c r="G105" s="827"/>
      <c r="H105" s="838"/>
      <c r="I105" s="856"/>
      <c r="J105" s="856"/>
      <c r="K105" s="856"/>
    </row>
    <row r="106" spans="1:11" ht="13.5" thickBot="1">
      <c r="A106" s="318"/>
      <c r="B106" s="869"/>
      <c r="C106" s="839"/>
      <c r="D106" s="840"/>
      <c r="E106" s="840"/>
      <c r="F106" s="849"/>
      <c r="G106" s="840"/>
      <c r="H106" s="839"/>
      <c r="I106" s="857"/>
      <c r="J106" s="857"/>
      <c r="K106" s="857"/>
    </row>
    <row r="107" spans="1:11" ht="57" customHeight="1">
      <c r="A107" s="313"/>
      <c r="B107" s="865" t="s">
        <v>227</v>
      </c>
      <c r="C107" s="828" t="s">
        <v>126</v>
      </c>
      <c r="D107" s="828" t="s">
        <v>586</v>
      </c>
      <c r="E107" s="828" t="s">
        <v>580</v>
      </c>
      <c r="F107" s="831" t="s">
        <v>522</v>
      </c>
      <c r="G107" s="841" t="s">
        <v>668</v>
      </c>
      <c r="H107" s="828" t="s">
        <v>107</v>
      </c>
      <c r="I107" s="828" t="s">
        <v>4</v>
      </c>
      <c r="J107" s="828" t="s">
        <v>382</v>
      </c>
      <c r="K107" s="852" t="s">
        <v>71</v>
      </c>
    </row>
    <row r="108" spans="1:11" ht="21.75" customHeight="1">
      <c r="A108" s="314"/>
      <c r="B108" s="866"/>
      <c r="C108" s="829"/>
      <c r="D108" s="829"/>
      <c r="E108" s="829"/>
      <c r="F108" s="832"/>
      <c r="G108" s="838"/>
      <c r="H108" s="829"/>
      <c r="I108" s="829"/>
      <c r="J108" s="829"/>
      <c r="K108" s="829"/>
    </row>
    <row r="109" spans="1:11" ht="21.75" customHeight="1">
      <c r="A109" s="314"/>
      <c r="B109" s="866"/>
      <c r="C109" s="829"/>
      <c r="D109" s="829"/>
      <c r="E109" s="829"/>
      <c r="F109" s="832"/>
      <c r="G109" s="838"/>
      <c r="H109" s="829"/>
      <c r="I109" s="829"/>
      <c r="J109" s="829"/>
      <c r="K109" s="829"/>
    </row>
    <row r="110" spans="1:11" ht="21.75" customHeight="1">
      <c r="A110" s="314"/>
      <c r="B110" s="866"/>
      <c r="C110" s="829"/>
      <c r="D110" s="829"/>
      <c r="E110" s="829"/>
      <c r="F110" s="832"/>
      <c r="G110" s="838"/>
      <c r="H110" s="829"/>
      <c r="I110" s="829"/>
      <c r="J110" s="829"/>
      <c r="K110" s="829"/>
    </row>
    <row r="111" spans="1:11" ht="21.75" customHeight="1">
      <c r="A111" s="314"/>
      <c r="B111" s="866"/>
      <c r="C111" s="829"/>
      <c r="D111" s="829"/>
      <c r="E111" s="829"/>
      <c r="F111" s="832"/>
      <c r="G111" s="838"/>
      <c r="H111" s="829"/>
      <c r="I111" s="829"/>
      <c r="J111" s="829"/>
      <c r="K111" s="829"/>
    </row>
    <row r="112" spans="1:11" ht="21.75" customHeight="1">
      <c r="A112" s="314"/>
      <c r="B112" s="866"/>
      <c r="C112" s="829"/>
      <c r="D112" s="829"/>
      <c r="E112" s="829"/>
      <c r="F112" s="832"/>
      <c r="G112" s="838"/>
      <c r="H112" s="829"/>
      <c r="I112" s="829"/>
      <c r="J112" s="829"/>
      <c r="K112" s="829"/>
    </row>
    <row r="113" spans="1:11" ht="21.75" customHeight="1">
      <c r="A113" s="314"/>
      <c r="B113" s="866"/>
      <c r="C113" s="829"/>
      <c r="D113" s="829"/>
      <c r="E113" s="829"/>
      <c r="F113" s="832"/>
      <c r="G113" s="838"/>
      <c r="H113" s="829"/>
      <c r="I113" s="829"/>
      <c r="J113" s="829"/>
      <c r="K113" s="829"/>
    </row>
    <row r="114" spans="1:11" ht="26.25" customHeight="1" thickBot="1">
      <c r="A114" s="315"/>
      <c r="B114" s="867"/>
      <c r="C114" s="830"/>
      <c r="D114" s="830"/>
      <c r="E114" s="830"/>
      <c r="F114" s="833"/>
      <c r="G114" s="839"/>
      <c r="H114" s="830"/>
      <c r="I114" s="830"/>
      <c r="J114" s="830"/>
      <c r="K114" s="830"/>
    </row>
    <row r="115" spans="1:11" ht="12.75" customHeight="1">
      <c r="B115" s="865" t="s">
        <v>229</v>
      </c>
      <c r="C115" s="828" t="s">
        <v>667</v>
      </c>
      <c r="D115" s="828" t="s">
        <v>587</v>
      </c>
      <c r="E115" s="828" t="s">
        <v>581</v>
      </c>
      <c r="F115" s="831" t="s">
        <v>117</v>
      </c>
      <c r="G115" s="828" t="s">
        <v>115</v>
      </c>
      <c r="H115" s="828" t="s">
        <v>108</v>
      </c>
      <c r="I115" s="828" t="s">
        <v>5</v>
      </c>
      <c r="J115" s="828" t="s">
        <v>383</v>
      </c>
      <c r="K115" s="852" t="s">
        <v>72</v>
      </c>
    </row>
    <row r="116" spans="1:11">
      <c r="B116" s="866"/>
      <c r="C116" s="829"/>
      <c r="D116" s="829"/>
      <c r="E116" s="829"/>
      <c r="F116" s="832"/>
      <c r="G116" s="829"/>
      <c r="H116" s="829"/>
      <c r="I116" s="829"/>
      <c r="J116" s="829"/>
      <c r="K116" s="829"/>
    </row>
    <row r="117" spans="1:11">
      <c r="B117" s="866"/>
      <c r="C117" s="829"/>
      <c r="D117" s="829"/>
      <c r="E117" s="829"/>
      <c r="F117" s="832"/>
      <c r="G117" s="829"/>
      <c r="H117" s="829"/>
      <c r="I117" s="829"/>
      <c r="J117" s="829"/>
      <c r="K117" s="829"/>
    </row>
    <row r="118" spans="1:11" ht="32.25" customHeight="1">
      <c r="B118" s="866"/>
      <c r="C118" s="829"/>
      <c r="D118" s="829"/>
      <c r="E118" s="829"/>
      <c r="F118" s="832"/>
      <c r="G118" s="829"/>
      <c r="H118" s="829"/>
      <c r="I118" s="829"/>
      <c r="J118" s="829"/>
      <c r="K118" s="829"/>
    </row>
    <row r="119" spans="1:11">
      <c r="B119" s="866"/>
      <c r="C119" s="829"/>
      <c r="D119" s="829"/>
      <c r="E119" s="829"/>
      <c r="F119" s="832"/>
      <c r="G119" s="829"/>
      <c r="H119" s="829"/>
      <c r="I119" s="829"/>
      <c r="J119" s="829"/>
      <c r="K119" s="829"/>
    </row>
    <row r="120" spans="1:11">
      <c r="B120" s="866"/>
      <c r="C120" s="829"/>
      <c r="D120" s="829"/>
      <c r="E120" s="829"/>
      <c r="F120" s="832"/>
      <c r="G120" s="829"/>
      <c r="H120" s="829"/>
      <c r="I120" s="829"/>
      <c r="J120" s="829"/>
      <c r="K120" s="829"/>
    </row>
    <row r="121" spans="1:11" ht="90.75" customHeight="1">
      <c r="B121" s="866"/>
      <c r="C121" s="829"/>
      <c r="D121" s="829"/>
      <c r="E121" s="829"/>
      <c r="F121" s="832"/>
      <c r="G121" s="829"/>
      <c r="H121" s="829"/>
      <c r="I121" s="829"/>
      <c r="J121" s="829"/>
      <c r="K121" s="829"/>
    </row>
    <row r="122" spans="1:11" ht="45.75" customHeight="1" thickBot="1">
      <c r="B122" s="867"/>
      <c r="C122" s="830"/>
      <c r="D122" s="830"/>
      <c r="E122" s="830"/>
      <c r="F122" s="833"/>
      <c r="G122" s="830"/>
      <c r="H122" s="830"/>
      <c r="I122" s="830"/>
      <c r="J122" s="830"/>
      <c r="K122" s="830"/>
    </row>
    <row r="123" spans="1:11">
      <c r="B123" s="822"/>
      <c r="C123" s="822"/>
      <c r="D123" s="822"/>
      <c r="E123" s="822"/>
      <c r="F123" s="821"/>
      <c r="G123" s="822"/>
      <c r="H123" s="822"/>
      <c r="I123" s="822"/>
      <c r="J123" s="822"/>
      <c r="K123" s="822"/>
    </row>
    <row r="124" spans="1:11">
      <c r="B124" s="822"/>
      <c r="C124" s="822"/>
      <c r="D124" s="822"/>
      <c r="E124" s="822"/>
      <c r="F124" s="821"/>
      <c r="G124" s="822"/>
      <c r="H124" s="822"/>
      <c r="I124" s="822"/>
      <c r="J124" s="822"/>
      <c r="K124" s="822"/>
    </row>
    <row r="125" spans="1:11">
      <c r="B125" s="822"/>
      <c r="C125" s="822"/>
      <c r="D125" s="822"/>
      <c r="E125" s="822"/>
      <c r="F125" s="821"/>
      <c r="G125" s="822"/>
      <c r="H125" s="822"/>
      <c r="I125" s="822"/>
      <c r="J125" s="822"/>
      <c r="K125" s="822"/>
    </row>
    <row r="126" spans="1:11">
      <c r="B126" s="822"/>
      <c r="C126" s="822"/>
      <c r="D126" s="822"/>
      <c r="E126" s="822"/>
      <c r="F126" s="821"/>
      <c r="G126" s="822"/>
      <c r="H126" s="822"/>
      <c r="I126" s="822"/>
      <c r="J126" s="822"/>
      <c r="K126" s="822"/>
    </row>
    <row r="127" spans="1:11">
      <c r="B127" s="822"/>
      <c r="C127" s="822"/>
      <c r="D127" s="822"/>
      <c r="E127" s="822"/>
      <c r="F127" s="821"/>
      <c r="G127" s="822"/>
      <c r="H127" s="822"/>
      <c r="I127" s="822"/>
      <c r="J127" s="822"/>
      <c r="K127" s="822"/>
    </row>
    <row r="128" spans="1:11">
      <c r="B128" s="822"/>
      <c r="C128" s="822"/>
      <c r="D128" s="822"/>
      <c r="E128" s="822"/>
      <c r="F128" s="821"/>
      <c r="G128" s="822"/>
      <c r="H128" s="822"/>
      <c r="I128" s="822"/>
      <c r="J128" s="822"/>
      <c r="K128" s="822"/>
    </row>
    <row r="129" spans="2:11">
      <c r="B129" s="822"/>
      <c r="C129" s="822"/>
      <c r="D129" s="822"/>
      <c r="E129" s="822"/>
      <c r="F129" s="821"/>
      <c r="G129" s="822"/>
      <c r="H129" s="822"/>
      <c r="I129" s="822"/>
      <c r="J129" s="822"/>
      <c r="K129" s="822"/>
    </row>
    <row r="130" spans="2:11">
      <c r="B130" s="822"/>
      <c r="C130" s="822"/>
      <c r="D130" s="822"/>
      <c r="E130" s="822"/>
      <c r="F130" s="821"/>
      <c r="G130" s="822"/>
      <c r="H130" s="822"/>
      <c r="I130" s="822"/>
      <c r="J130" s="822"/>
      <c r="K130" s="822"/>
    </row>
    <row r="131" spans="2:11">
      <c r="B131" s="822"/>
      <c r="C131" s="822"/>
      <c r="D131" s="822"/>
      <c r="E131" s="822"/>
      <c r="F131" s="821"/>
      <c r="G131" s="822"/>
      <c r="H131" s="822"/>
      <c r="I131" s="822"/>
      <c r="J131" s="822"/>
      <c r="K131" s="822"/>
    </row>
    <row r="132" spans="2:11">
      <c r="B132" s="822"/>
      <c r="C132" s="822"/>
      <c r="D132" s="822"/>
      <c r="E132" s="822"/>
      <c r="F132" s="821"/>
      <c r="G132" s="822"/>
      <c r="H132" s="822"/>
      <c r="I132" s="822"/>
      <c r="J132" s="822"/>
      <c r="K132" s="822"/>
    </row>
    <row r="133" spans="2:11">
      <c r="B133" s="822"/>
      <c r="C133" s="822"/>
      <c r="D133" s="822"/>
      <c r="E133" s="822"/>
      <c r="F133" s="821"/>
      <c r="G133" s="822"/>
      <c r="H133" s="822"/>
      <c r="I133" s="822"/>
      <c r="J133" s="822"/>
      <c r="K133" s="822"/>
    </row>
    <row r="134" spans="2:11">
      <c r="B134" s="822"/>
      <c r="C134" s="822"/>
      <c r="D134" s="822"/>
      <c r="E134" s="822"/>
      <c r="F134" s="821"/>
      <c r="G134" s="822"/>
      <c r="H134" s="822"/>
      <c r="I134" s="822"/>
      <c r="J134" s="822"/>
      <c r="K134" s="822"/>
    </row>
    <row r="135" spans="2:11">
      <c r="B135" s="822"/>
      <c r="C135" s="822"/>
      <c r="D135" s="822"/>
      <c r="E135" s="822"/>
      <c r="F135" s="821"/>
      <c r="G135" s="822"/>
      <c r="H135" s="822"/>
      <c r="I135" s="822"/>
      <c r="J135" s="822"/>
      <c r="K135" s="822"/>
    </row>
    <row r="136" spans="2:11">
      <c r="B136" s="822"/>
      <c r="C136" s="822"/>
      <c r="D136" s="822"/>
      <c r="E136" s="822"/>
      <c r="F136" s="821"/>
      <c r="G136" s="822"/>
      <c r="H136" s="822"/>
      <c r="I136" s="822"/>
      <c r="J136" s="822"/>
      <c r="K136" s="822"/>
    </row>
    <row r="137" spans="2:11">
      <c r="B137" s="822"/>
      <c r="C137" s="822"/>
      <c r="D137" s="822"/>
      <c r="E137" s="822"/>
      <c r="F137" s="821"/>
      <c r="G137" s="822"/>
      <c r="H137" s="822"/>
      <c r="I137" s="822"/>
      <c r="J137" s="822"/>
      <c r="K137" s="822"/>
    </row>
    <row r="138" spans="2:11">
      <c r="B138" s="822"/>
      <c r="C138" s="822"/>
      <c r="D138" s="822"/>
      <c r="E138" s="822"/>
      <c r="F138" s="821"/>
      <c r="G138" s="822"/>
      <c r="H138" s="822"/>
      <c r="I138" s="822"/>
      <c r="J138" s="822"/>
      <c r="K138" s="822"/>
    </row>
    <row r="139" spans="2:11">
      <c r="B139" s="822"/>
      <c r="C139" s="822"/>
      <c r="D139" s="822"/>
      <c r="E139" s="822"/>
      <c r="F139" s="821"/>
      <c r="G139" s="822"/>
      <c r="H139" s="822"/>
      <c r="I139" s="822"/>
      <c r="J139" s="822"/>
      <c r="K139" s="822"/>
    </row>
    <row r="140" spans="2:11">
      <c r="B140" s="822"/>
      <c r="C140" s="822"/>
      <c r="D140" s="822"/>
      <c r="E140" s="822"/>
      <c r="F140" s="821"/>
      <c r="G140" s="822"/>
      <c r="H140" s="822"/>
      <c r="I140" s="822"/>
      <c r="J140" s="822"/>
      <c r="K140" s="822"/>
    </row>
    <row r="141" spans="2:11">
      <c r="B141" s="822"/>
      <c r="C141" s="822"/>
      <c r="D141" s="822"/>
      <c r="E141" s="822"/>
      <c r="F141" s="821"/>
      <c r="G141" s="822"/>
      <c r="H141" s="822"/>
      <c r="I141" s="822"/>
      <c r="J141" s="822"/>
      <c r="K141" s="822"/>
    </row>
    <row r="142" spans="2:11">
      <c r="B142" s="822"/>
      <c r="C142" s="822"/>
      <c r="D142" s="822"/>
      <c r="E142" s="822"/>
      <c r="F142" s="821"/>
      <c r="G142" s="822"/>
      <c r="H142" s="822"/>
      <c r="I142" s="822"/>
      <c r="J142" s="822"/>
      <c r="K142" s="822"/>
    </row>
    <row r="143" spans="2:11">
      <c r="B143" s="822"/>
      <c r="C143" s="822"/>
      <c r="D143" s="822"/>
      <c r="E143" s="822"/>
      <c r="F143" s="821"/>
      <c r="G143" s="822"/>
      <c r="H143" s="822"/>
      <c r="I143" s="822"/>
      <c r="J143" s="822"/>
      <c r="K143" s="822"/>
    </row>
    <row r="144" spans="2:11">
      <c r="B144" s="822"/>
      <c r="C144" s="822"/>
      <c r="D144" s="822"/>
      <c r="E144" s="822"/>
      <c r="F144" s="821"/>
      <c r="G144" s="822"/>
      <c r="H144" s="822"/>
      <c r="I144" s="822"/>
      <c r="J144" s="822"/>
      <c r="K144" s="822"/>
    </row>
    <row r="145" spans="2:11">
      <c r="B145" s="822"/>
      <c r="C145" s="822"/>
      <c r="D145" s="822"/>
      <c r="E145" s="822"/>
      <c r="F145" s="821"/>
      <c r="G145" s="822"/>
      <c r="H145" s="822"/>
      <c r="I145" s="822"/>
      <c r="J145" s="822"/>
      <c r="K145" s="822"/>
    </row>
    <row r="146" spans="2:11">
      <c r="B146" s="822"/>
      <c r="C146" s="822"/>
      <c r="D146" s="822"/>
      <c r="E146" s="822"/>
      <c r="F146" s="821"/>
      <c r="G146" s="822"/>
      <c r="H146" s="822"/>
      <c r="I146" s="822"/>
      <c r="J146" s="822"/>
      <c r="K146" s="822"/>
    </row>
    <row r="147" spans="2:11">
      <c r="B147" s="822"/>
      <c r="C147" s="822"/>
      <c r="D147" s="822"/>
      <c r="E147" s="822"/>
      <c r="F147" s="821"/>
      <c r="G147" s="822"/>
      <c r="H147" s="822"/>
      <c r="I147" s="822"/>
      <c r="J147" s="822"/>
      <c r="K147" s="822"/>
    </row>
    <row r="148" spans="2:11">
      <c r="B148" s="822"/>
      <c r="C148" s="822"/>
      <c r="D148" s="822"/>
      <c r="E148" s="822"/>
      <c r="F148" s="821"/>
      <c r="G148" s="822"/>
      <c r="H148" s="822"/>
      <c r="I148" s="822"/>
      <c r="J148" s="822"/>
      <c r="K148" s="822"/>
    </row>
    <row r="149" spans="2:11">
      <c r="B149" s="822"/>
      <c r="C149" s="822"/>
      <c r="D149" s="822"/>
      <c r="E149" s="822"/>
      <c r="F149" s="821"/>
      <c r="G149" s="822"/>
      <c r="H149" s="822"/>
      <c r="I149" s="822"/>
      <c r="J149" s="822"/>
      <c r="K149" s="822"/>
    </row>
    <row r="150" spans="2:11">
      <c r="B150" s="822"/>
      <c r="C150" s="822"/>
      <c r="D150" s="822"/>
      <c r="E150" s="822"/>
      <c r="F150" s="821"/>
      <c r="G150" s="822"/>
      <c r="H150" s="822"/>
      <c r="I150" s="822"/>
      <c r="J150" s="822"/>
      <c r="K150" s="822"/>
    </row>
    <row r="151" spans="2:11">
      <c r="B151" s="822"/>
      <c r="C151" s="822"/>
      <c r="D151" s="822"/>
      <c r="E151" s="822"/>
      <c r="F151" s="821"/>
      <c r="G151" s="822"/>
      <c r="H151" s="822"/>
      <c r="I151" s="822"/>
      <c r="J151" s="822"/>
      <c r="K151" s="822"/>
    </row>
    <row r="152" spans="2:11">
      <c r="B152" s="822"/>
      <c r="C152" s="822"/>
      <c r="D152" s="822"/>
      <c r="E152" s="822"/>
      <c r="F152" s="821"/>
      <c r="G152" s="822"/>
      <c r="H152" s="822"/>
      <c r="I152" s="822"/>
      <c r="J152" s="822"/>
      <c r="K152" s="822"/>
    </row>
    <row r="153" spans="2:11">
      <c r="B153" s="822"/>
      <c r="C153" s="822"/>
      <c r="D153" s="822"/>
      <c r="E153" s="822"/>
      <c r="F153" s="821"/>
      <c r="G153" s="822"/>
      <c r="H153" s="822"/>
      <c r="I153" s="822"/>
      <c r="J153" s="822"/>
      <c r="K153" s="822"/>
    </row>
    <row r="154" spans="2:11">
      <c r="B154" s="822"/>
      <c r="C154" s="822"/>
      <c r="D154" s="822"/>
      <c r="E154" s="822"/>
      <c r="F154" s="821"/>
      <c r="G154" s="822"/>
      <c r="H154" s="822"/>
      <c r="I154" s="822"/>
      <c r="J154" s="822"/>
      <c r="K154" s="822"/>
    </row>
    <row r="155" spans="2:11">
      <c r="B155" s="822"/>
      <c r="C155" s="822"/>
      <c r="D155" s="822"/>
      <c r="E155" s="822"/>
      <c r="F155" s="821"/>
      <c r="G155" s="822"/>
      <c r="H155" s="822"/>
      <c r="I155" s="822"/>
      <c r="J155" s="822"/>
      <c r="K155" s="822"/>
    </row>
    <row r="156" spans="2:11">
      <c r="B156" s="822"/>
      <c r="C156" s="822"/>
      <c r="D156" s="822"/>
      <c r="E156" s="822"/>
      <c r="F156" s="821"/>
      <c r="G156" s="822"/>
      <c r="H156" s="822"/>
      <c r="I156" s="822"/>
      <c r="J156" s="822"/>
      <c r="K156" s="822"/>
    </row>
    <row r="157" spans="2:11">
      <c r="B157" s="822"/>
      <c r="C157" s="822"/>
      <c r="D157" s="822"/>
      <c r="E157" s="822"/>
      <c r="F157" s="821"/>
      <c r="G157" s="822"/>
      <c r="H157" s="822"/>
      <c r="I157" s="822"/>
      <c r="J157" s="822"/>
      <c r="K157" s="822"/>
    </row>
    <row r="158" spans="2:11">
      <c r="B158" s="822"/>
      <c r="C158" s="822"/>
      <c r="D158" s="822"/>
      <c r="E158" s="822"/>
      <c r="F158" s="821"/>
      <c r="G158" s="822"/>
      <c r="H158" s="822"/>
      <c r="I158" s="822"/>
      <c r="J158" s="822"/>
      <c r="K158" s="822"/>
    </row>
    <row r="159" spans="2:11">
      <c r="B159" s="822"/>
      <c r="C159" s="822"/>
      <c r="D159" s="822"/>
      <c r="E159" s="822"/>
      <c r="F159" s="821"/>
      <c r="G159" s="822"/>
      <c r="H159" s="822"/>
      <c r="I159" s="822"/>
      <c r="J159" s="822"/>
      <c r="K159" s="822"/>
    </row>
    <row r="160" spans="2:11">
      <c r="B160" s="822"/>
      <c r="C160" s="822"/>
      <c r="D160" s="822"/>
      <c r="E160" s="822"/>
      <c r="F160" s="821"/>
      <c r="G160" s="822"/>
      <c r="H160" s="822"/>
      <c r="I160" s="822"/>
      <c r="J160" s="822"/>
      <c r="K160" s="822"/>
    </row>
    <row r="161" spans="2:11">
      <c r="B161" s="822"/>
      <c r="C161" s="822"/>
      <c r="D161" s="822"/>
      <c r="E161" s="822"/>
      <c r="F161" s="821"/>
      <c r="G161" s="822"/>
      <c r="H161" s="822"/>
      <c r="I161" s="822"/>
      <c r="J161" s="822"/>
      <c r="K161" s="822"/>
    </row>
    <row r="162" spans="2:11">
      <c r="B162" s="822"/>
      <c r="C162" s="822"/>
      <c r="D162" s="822"/>
      <c r="E162" s="822"/>
      <c r="F162" s="821"/>
      <c r="G162" s="822"/>
      <c r="H162" s="822"/>
      <c r="I162" s="822"/>
      <c r="J162" s="822"/>
      <c r="K162" s="822"/>
    </row>
    <row r="163" spans="2:11">
      <c r="B163" s="822"/>
      <c r="C163" s="822"/>
      <c r="D163" s="822"/>
      <c r="E163" s="822"/>
      <c r="F163" s="821"/>
      <c r="G163" s="822"/>
      <c r="H163" s="822"/>
      <c r="I163" s="822"/>
      <c r="J163" s="822"/>
      <c r="K163" s="822"/>
    </row>
    <row r="164" spans="2:11">
      <c r="B164" s="822"/>
      <c r="C164" s="822"/>
      <c r="D164" s="822"/>
      <c r="E164" s="822"/>
      <c r="F164" s="821"/>
      <c r="G164" s="822"/>
      <c r="H164" s="822"/>
      <c r="I164" s="822"/>
      <c r="J164" s="822"/>
      <c r="K164" s="822"/>
    </row>
    <row r="165" spans="2:11">
      <c r="B165" s="822"/>
      <c r="C165" s="822"/>
      <c r="D165" s="822"/>
      <c r="E165" s="822"/>
      <c r="F165" s="821"/>
      <c r="G165" s="822"/>
      <c r="H165" s="822"/>
      <c r="I165" s="822"/>
      <c r="J165" s="822"/>
      <c r="K165" s="822"/>
    </row>
    <row r="166" spans="2:11">
      <c r="B166" s="822"/>
      <c r="C166" s="822"/>
      <c r="D166" s="822"/>
      <c r="E166" s="822"/>
      <c r="F166" s="821"/>
      <c r="G166" s="822"/>
      <c r="H166" s="822"/>
      <c r="I166" s="822"/>
      <c r="J166" s="822"/>
      <c r="K166" s="822"/>
    </row>
    <row r="167" spans="2:11">
      <c r="B167" s="822"/>
      <c r="C167" s="822"/>
      <c r="D167" s="822"/>
      <c r="E167" s="822"/>
      <c r="F167" s="821"/>
      <c r="G167" s="822"/>
      <c r="H167" s="822"/>
      <c r="I167" s="822"/>
      <c r="J167" s="822"/>
      <c r="K167" s="822"/>
    </row>
    <row r="168" spans="2:11">
      <c r="B168" s="822"/>
      <c r="C168" s="822"/>
      <c r="D168" s="822"/>
      <c r="E168" s="822"/>
      <c r="F168" s="821"/>
      <c r="G168" s="822"/>
      <c r="H168" s="822"/>
      <c r="I168" s="822"/>
      <c r="J168" s="822"/>
      <c r="K168" s="822"/>
    </row>
    <row r="169" spans="2:11">
      <c r="B169" s="822"/>
      <c r="C169" s="822"/>
      <c r="D169" s="822"/>
      <c r="E169" s="822"/>
      <c r="F169" s="821"/>
      <c r="G169" s="822"/>
      <c r="H169" s="822"/>
      <c r="I169" s="822"/>
      <c r="J169" s="822"/>
      <c r="K169" s="822"/>
    </row>
    <row r="170" spans="2:11">
      <c r="B170" s="822"/>
      <c r="C170" s="822"/>
      <c r="D170" s="822"/>
      <c r="E170" s="822"/>
      <c r="F170" s="821"/>
      <c r="G170" s="822"/>
      <c r="H170" s="822"/>
      <c r="I170" s="822"/>
      <c r="J170" s="822"/>
      <c r="K170" s="822"/>
    </row>
    <row r="171" spans="2:11">
      <c r="B171" s="822"/>
      <c r="C171" s="822"/>
      <c r="D171" s="822"/>
      <c r="E171" s="822"/>
      <c r="F171" s="821"/>
      <c r="G171" s="822"/>
      <c r="H171" s="822"/>
      <c r="I171" s="822"/>
      <c r="J171" s="822"/>
      <c r="K171" s="822"/>
    </row>
    <row r="172" spans="2:11">
      <c r="B172" s="822"/>
      <c r="C172" s="822"/>
      <c r="D172" s="822"/>
      <c r="E172" s="822"/>
      <c r="F172" s="821"/>
      <c r="G172" s="822"/>
      <c r="H172" s="822"/>
      <c r="I172" s="822"/>
      <c r="J172" s="822"/>
      <c r="K172" s="822"/>
    </row>
    <row r="173" spans="2:11">
      <c r="B173" s="822"/>
      <c r="C173" s="822"/>
      <c r="D173" s="822"/>
      <c r="E173" s="822"/>
      <c r="F173" s="821"/>
      <c r="G173" s="822"/>
      <c r="H173" s="822"/>
      <c r="I173" s="822"/>
      <c r="J173" s="822"/>
      <c r="K173" s="822"/>
    </row>
    <row r="174" spans="2:11">
      <c r="B174" s="822"/>
      <c r="C174" s="822"/>
      <c r="D174" s="822"/>
      <c r="E174" s="822"/>
      <c r="F174" s="821"/>
      <c r="G174" s="822"/>
      <c r="H174" s="822"/>
      <c r="I174" s="822"/>
      <c r="J174" s="822"/>
      <c r="K174" s="822"/>
    </row>
    <row r="175" spans="2:11">
      <c r="B175" s="822"/>
      <c r="C175" s="822"/>
      <c r="D175" s="822"/>
      <c r="E175" s="822"/>
      <c r="F175" s="821"/>
      <c r="G175" s="822"/>
      <c r="H175" s="822"/>
      <c r="I175" s="822"/>
      <c r="J175" s="822"/>
      <c r="K175" s="822"/>
    </row>
    <row r="176" spans="2:11">
      <c r="B176" s="822"/>
      <c r="C176" s="822"/>
      <c r="D176" s="822"/>
      <c r="E176" s="822"/>
      <c r="F176" s="821"/>
      <c r="G176" s="822"/>
      <c r="H176" s="822"/>
      <c r="I176" s="822"/>
      <c r="J176" s="822"/>
      <c r="K176" s="822"/>
    </row>
    <row r="177" spans="2:11">
      <c r="B177" s="822"/>
      <c r="C177" s="822"/>
      <c r="D177" s="822"/>
      <c r="E177" s="822"/>
      <c r="F177" s="821"/>
      <c r="G177" s="822"/>
      <c r="H177" s="822"/>
      <c r="I177" s="822"/>
      <c r="J177" s="822"/>
      <c r="K177" s="822"/>
    </row>
    <row r="178" spans="2:11">
      <c r="B178" s="822"/>
      <c r="C178" s="822"/>
      <c r="D178" s="822"/>
      <c r="E178" s="822"/>
      <c r="F178" s="821"/>
      <c r="G178" s="822"/>
      <c r="H178" s="822"/>
      <c r="I178" s="822"/>
      <c r="J178" s="822"/>
      <c r="K178" s="822"/>
    </row>
    <row r="179" spans="2:11">
      <c r="B179" s="822"/>
      <c r="C179" s="822"/>
      <c r="D179" s="822"/>
      <c r="E179" s="822"/>
      <c r="F179" s="821"/>
      <c r="G179" s="822"/>
      <c r="H179" s="822"/>
      <c r="I179" s="822"/>
      <c r="J179" s="822"/>
      <c r="K179" s="822"/>
    </row>
    <row r="180" spans="2:11">
      <c r="B180" s="822"/>
      <c r="C180" s="822"/>
      <c r="D180" s="822"/>
      <c r="E180" s="822"/>
      <c r="F180" s="821"/>
      <c r="G180" s="822"/>
      <c r="H180" s="822"/>
      <c r="I180" s="822"/>
      <c r="J180" s="822"/>
      <c r="K180" s="822"/>
    </row>
    <row r="181" spans="2:11">
      <c r="B181" s="822"/>
      <c r="C181" s="822"/>
      <c r="D181" s="822"/>
      <c r="E181" s="822"/>
      <c r="F181" s="821"/>
      <c r="G181" s="822"/>
      <c r="H181" s="822"/>
      <c r="I181" s="822"/>
      <c r="J181" s="822"/>
      <c r="K181" s="822"/>
    </row>
    <row r="182" spans="2:11">
      <c r="B182" s="822"/>
      <c r="C182" s="822"/>
      <c r="D182" s="822"/>
      <c r="E182" s="822"/>
      <c r="F182" s="821"/>
      <c r="G182" s="822"/>
      <c r="H182" s="822"/>
      <c r="I182" s="822"/>
      <c r="J182" s="822"/>
      <c r="K182" s="822"/>
    </row>
    <row r="183" spans="2:11">
      <c r="B183" s="822"/>
      <c r="C183" s="822"/>
      <c r="D183" s="822"/>
      <c r="E183" s="822"/>
      <c r="F183" s="821"/>
      <c r="G183" s="822"/>
      <c r="H183" s="822"/>
      <c r="I183" s="822"/>
      <c r="J183" s="822"/>
      <c r="K183" s="822"/>
    </row>
    <row r="184" spans="2:11">
      <c r="B184" s="822"/>
      <c r="C184" s="822"/>
      <c r="D184" s="822"/>
      <c r="E184" s="822"/>
      <c r="F184" s="821"/>
      <c r="G184" s="822"/>
      <c r="H184" s="822"/>
      <c r="I184" s="822"/>
      <c r="J184" s="822"/>
      <c r="K184" s="822"/>
    </row>
    <row r="185" spans="2:11">
      <c r="B185" s="822"/>
      <c r="C185" s="822"/>
      <c r="D185" s="822"/>
      <c r="E185" s="822"/>
      <c r="F185" s="821"/>
      <c r="G185" s="822"/>
      <c r="H185" s="822"/>
      <c r="I185" s="822"/>
      <c r="J185" s="822"/>
      <c r="K185" s="822"/>
    </row>
    <row r="186" spans="2:11">
      <c r="B186" s="822"/>
      <c r="C186" s="822"/>
      <c r="D186" s="822"/>
      <c r="E186" s="822"/>
      <c r="F186" s="821"/>
      <c r="G186" s="822"/>
      <c r="H186" s="822"/>
      <c r="I186" s="822"/>
      <c r="J186" s="822"/>
      <c r="K186" s="822"/>
    </row>
    <row r="187" spans="2:11">
      <c r="B187" s="822"/>
      <c r="C187" s="822"/>
      <c r="D187" s="822"/>
      <c r="E187" s="822"/>
      <c r="F187" s="821"/>
      <c r="G187" s="822"/>
      <c r="H187" s="822"/>
      <c r="I187" s="822"/>
      <c r="J187" s="822"/>
      <c r="K187" s="822"/>
    </row>
    <row r="188" spans="2:11">
      <c r="B188" s="822"/>
      <c r="C188" s="822"/>
      <c r="D188" s="822"/>
      <c r="E188" s="822"/>
      <c r="F188" s="821"/>
      <c r="G188" s="822"/>
      <c r="H188" s="822"/>
      <c r="I188" s="822"/>
      <c r="J188" s="822"/>
      <c r="K188" s="822"/>
    </row>
    <row r="189" spans="2:11">
      <c r="B189" s="822"/>
      <c r="C189" s="822"/>
      <c r="D189" s="822"/>
      <c r="E189" s="822"/>
      <c r="F189" s="821"/>
      <c r="G189" s="822"/>
      <c r="H189" s="822"/>
      <c r="I189" s="822"/>
      <c r="J189" s="822"/>
      <c r="K189" s="822"/>
    </row>
    <row r="190" spans="2:11">
      <c r="B190" s="822"/>
      <c r="C190" s="822"/>
      <c r="D190" s="822"/>
      <c r="E190" s="822"/>
      <c r="F190" s="821"/>
      <c r="G190" s="822"/>
      <c r="H190" s="822"/>
      <c r="I190" s="822"/>
      <c r="J190" s="822"/>
      <c r="K190" s="822"/>
    </row>
    <row r="191" spans="2:11">
      <c r="B191" s="822"/>
      <c r="C191" s="822"/>
      <c r="D191" s="822"/>
      <c r="E191" s="822"/>
      <c r="F191" s="821"/>
      <c r="G191" s="822"/>
      <c r="H191" s="822"/>
      <c r="I191" s="822"/>
      <c r="J191" s="822"/>
      <c r="K191" s="822"/>
    </row>
    <row r="192" spans="2:11">
      <c r="B192" s="822"/>
      <c r="C192" s="822"/>
      <c r="D192" s="822"/>
      <c r="E192" s="822"/>
      <c r="F192" s="821"/>
      <c r="G192" s="822"/>
      <c r="H192" s="822"/>
      <c r="I192" s="822"/>
      <c r="J192" s="822"/>
      <c r="K192" s="822"/>
    </row>
    <row r="193" spans="2:11">
      <c r="B193" s="822"/>
      <c r="C193" s="822"/>
      <c r="D193" s="822"/>
      <c r="E193" s="822"/>
      <c r="F193" s="821"/>
      <c r="G193" s="822"/>
      <c r="H193" s="822"/>
      <c r="I193" s="822"/>
      <c r="J193" s="822"/>
      <c r="K193" s="822"/>
    </row>
    <row r="194" spans="2:11">
      <c r="B194" s="822"/>
      <c r="C194" s="822"/>
      <c r="D194" s="822"/>
      <c r="E194" s="822"/>
      <c r="F194" s="821"/>
      <c r="G194" s="822"/>
      <c r="H194" s="822"/>
      <c r="I194" s="822"/>
      <c r="J194" s="822"/>
      <c r="K194" s="822"/>
    </row>
    <row r="195" spans="2:11">
      <c r="B195" s="822"/>
      <c r="C195" s="822"/>
      <c r="D195" s="822"/>
      <c r="E195" s="822"/>
      <c r="F195" s="821"/>
      <c r="G195" s="822"/>
      <c r="H195" s="822"/>
      <c r="I195" s="822"/>
      <c r="J195" s="822"/>
      <c r="K195" s="822"/>
    </row>
    <row r="196" spans="2:11">
      <c r="B196" s="822"/>
      <c r="C196" s="822"/>
      <c r="D196" s="822"/>
      <c r="E196" s="822"/>
      <c r="F196" s="821"/>
      <c r="G196" s="822"/>
      <c r="H196" s="822"/>
      <c r="I196" s="822"/>
      <c r="J196" s="822"/>
      <c r="K196" s="822"/>
    </row>
    <row r="197" spans="2:11">
      <c r="B197" s="822"/>
      <c r="C197" s="822"/>
      <c r="D197" s="822"/>
      <c r="E197" s="822"/>
      <c r="F197" s="821"/>
      <c r="G197" s="822"/>
      <c r="H197" s="822"/>
      <c r="I197" s="822"/>
      <c r="J197" s="822"/>
      <c r="K197" s="822"/>
    </row>
    <row r="198" spans="2:11">
      <c r="B198" s="822"/>
      <c r="C198" s="822"/>
      <c r="D198" s="822"/>
      <c r="E198" s="822"/>
      <c r="F198" s="821"/>
      <c r="G198" s="822"/>
      <c r="H198" s="822"/>
      <c r="I198" s="822"/>
      <c r="J198" s="822"/>
      <c r="K198" s="822"/>
    </row>
    <row r="199" spans="2:11">
      <c r="B199" s="822"/>
      <c r="C199" s="822"/>
      <c r="D199" s="822"/>
      <c r="E199" s="822"/>
      <c r="F199" s="821"/>
      <c r="G199" s="822"/>
      <c r="H199" s="822"/>
      <c r="I199" s="822"/>
      <c r="J199" s="822"/>
      <c r="K199" s="822"/>
    </row>
    <row r="200" spans="2:11">
      <c r="B200" s="822"/>
      <c r="C200" s="822"/>
      <c r="D200" s="822"/>
      <c r="E200" s="822"/>
      <c r="F200" s="821"/>
      <c r="G200" s="822"/>
      <c r="H200" s="822"/>
      <c r="I200" s="822"/>
      <c r="J200" s="822"/>
      <c r="K200" s="822"/>
    </row>
    <row r="201" spans="2:11">
      <c r="B201" s="822"/>
      <c r="C201" s="822"/>
      <c r="D201" s="822"/>
      <c r="E201" s="822"/>
      <c r="F201" s="821"/>
      <c r="G201" s="822"/>
      <c r="H201" s="822"/>
      <c r="I201" s="822"/>
      <c r="J201" s="822"/>
      <c r="K201" s="822"/>
    </row>
    <row r="202" spans="2:11">
      <c r="B202" s="822"/>
      <c r="C202" s="822"/>
      <c r="D202" s="822"/>
      <c r="E202" s="822"/>
      <c r="F202" s="821"/>
      <c r="G202" s="822"/>
      <c r="H202" s="822"/>
      <c r="I202" s="822"/>
      <c r="J202" s="822"/>
      <c r="K202" s="822"/>
    </row>
    <row r="203" spans="2:11">
      <c r="B203" s="822"/>
      <c r="C203" s="822"/>
      <c r="D203" s="822"/>
      <c r="E203" s="822"/>
      <c r="F203" s="821"/>
      <c r="G203" s="822"/>
      <c r="H203" s="822"/>
      <c r="I203" s="822"/>
      <c r="J203" s="822"/>
      <c r="K203" s="822"/>
    </row>
    <row r="204" spans="2:11">
      <c r="B204" s="822"/>
      <c r="C204" s="822"/>
      <c r="D204" s="822"/>
      <c r="E204" s="822"/>
      <c r="F204" s="821"/>
      <c r="G204" s="822"/>
      <c r="H204" s="822"/>
      <c r="I204" s="822"/>
      <c r="J204" s="822"/>
      <c r="K204" s="822"/>
    </row>
    <row r="205" spans="2:11">
      <c r="B205" s="822"/>
      <c r="C205" s="822"/>
      <c r="D205" s="822"/>
      <c r="E205" s="822"/>
      <c r="F205" s="821"/>
      <c r="G205" s="822"/>
      <c r="H205" s="822"/>
      <c r="I205" s="822"/>
      <c r="J205" s="822"/>
      <c r="K205" s="822"/>
    </row>
    <row r="206" spans="2:11">
      <c r="B206" s="822"/>
      <c r="C206" s="822"/>
      <c r="D206" s="822"/>
      <c r="E206" s="822"/>
      <c r="F206" s="821"/>
      <c r="G206" s="822"/>
      <c r="H206" s="822"/>
      <c r="I206" s="822"/>
      <c r="J206" s="822"/>
      <c r="K206" s="822"/>
    </row>
    <row r="207" spans="2:11">
      <c r="B207" s="822"/>
      <c r="C207" s="822"/>
      <c r="D207" s="822"/>
      <c r="E207" s="822"/>
      <c r="F207" s="821"/>
      <c r="G207" s="822"/>
      <c r="H207" s="822"/>
      <c r="I207" s="822"/>
      <c r="J207" s="822"/>
      <c r="K207" s="822"/>
    </row>
    <row r="208" spans="2:11">
      <c r="B208" s="822"/>
      <c r="C208" s="822"/>
      <c r="D208" s="822"/>
      <c r="E208" s="822"/>
      <c r="F208" s="821"/>
      <c r="G208" s="822"/>
      <c r="H208" s="822"/>
      <c r="I208" s="822"/>
      <c r="J208" s="822"/>
      <c r="K208" s="822"/>
    </row>
    <row r="209" spans="2:11">
      <c r="B209" s="822"/>
      <c r="C209" s="822"/>
      <c r="D209" s="822"/>
      <c r="E209" s="822"/>
      <c r="F209" s="821"/>
      <c r="G209" s="822"/>
      <c r="H209" s="822"/>
      <c r="I209" s="822"/>
      <c r="J209" s="822"/>
      <c r="K209" s="822"/>
    </row>
    <row r="210" spans="2:11">
      <c r="B210" s="822"/>
      <c r="C210" s="822"/>
      <c r="D210" s="822"/>
      <c r="E210" s="822"/>
      <c r="F210" s="821"/>
      <c r="G210" s="822"/>
      <c r="H210" s="822"/>
      <c r="I210" s="822"/>
      <c r="J210" s="822"/>
      <c r="K210" s="822"/>
    </row>
    <row r="211" spans="2:11">
      <c r="B211" s="822"/>
      <c r="C211" s="822"/>
      <c r="D211" s="822"/>
      <c r="E211" s="822"/>
      <c r="F211" s="821"/>
      <c r="G211" s="822"/>
      <c r="H211" s="822"/>
      <c r="I211" s="822"/>
      <c r="J211" s="822"/>
      <c r="K211" s="822"/>
    </row>
    <row r="212" spans="2:11">
      <c r="B212" s="822"/>
      <c r="C212" s="822"/>
      <c r="D212" s="822"/>
      <c r="E212" s="822"/>
      <c r="F212" s="821"/>
      <c r="G212" s="822"/>
      <c r="H212" s="822"/>
      <c r="I212" s="822"/>
      <c r="J212" s="822"/>
      <c r="K212" s="822"/>
    </row>
    <row r="213" spans="2:11">
      <c r="B213" s="822"/>
      <c r="C213" s="822"/>
      <c r="D213" s="822"/>
      <c r="E213" s="822"/>
      <c r="F213" s="821"/>
      <c r="G213" s="822"/>
      <c r="H213" s="822"/>
      <c r="I213" s="822"/>
      <c r="J213" s="822"/>
      <c r="K213" s="822"/>
    </row>
    <row r="214" spans="2:11">
      <c r="B214" s="822"/>
      <c r="C214" s="822"/>
      <c r="D214" s="822"/>
      <c r="E214" s="822"/>
      <c r="F214" s="821"/>
      <c r="G214" s="822"/>
      <c r="H214" s="822"/>
      <c r="I214" s="822"/>
      <c r="J214" s="822"/>
      <c r="K214" s="822"/>
    </row>
    <row r="215" spans="2:11">
      <c r="B215" s="822"/>
      <c r="C215" s="822"/>
      <c r="D215" s="822"/>
      <c r="E215" s="822"/>
      <c r="F215" s="821"/>
      <c r="G215" s="822"/>
      <c r="H215" s="822"/>
      <c r="I215" s="822"/>
      <c r="J215" s="822"/>
      <c r="K215" s="822"/>
    </row>
    <row r="216" spans="2:11">
      <c r="B216" s="822"/>
      <c r="C216" s="822"/>
      <c r="D216" s="822"/>
      <c r="E216" s="822"/>
      <c r="F216" s="821"/>
      <c r="G216" s="822"/>
      <c r="H216" s="822"/>
      <c r="I216" s="822"/>
      <c r="J216" s="822"/>
      <c r="K216" s="822"/>
    </row>
    <row r="217" spans="2:11">
      <c r="B217" s="822"/>
      <c r="C217" s="822"/>
      <c r="D217" s="822"/>
      <c r="E217" s="822"/>
      <c r="F217" s="821"/>
      <c r="G217" s="822"/>
      <c r="H217" s="822"/>
      <c r="I217" s="822"/>
      <c r="J217" s="822"/>
      <c r="K217" s="822"/>
    </row>
    <row r="218" spans="2:11">
      <c r="B218" s="822"/>
      <c r="C218" s="822"/>
      <c r="D218" s="822"/>
      <c r="E218" s="822"/>
      <c r="F218" s="821"/>
      <c r="G218" s="822"/>
      <c r="H218" s="822"/>
      <c r="I218" s="822"/>
      <c r="J218" s="822"/>
      <c r="K218" s="822"/>
    </row>
    <row r="219" spans="2:11">
      <c r="B219" s="822"/>
      <c r="C219" s="822"/>
      <c r="D219" s="822"/>
      <c r="E219" s="822"/>
      <c r="F219" s="821"/>
      <c r="G219" s="822"/>
      <c r="H219" s="822"/>
      <c r="I219" s="822"/>
      <c r="J219" s="822"/>
      <c r="K219" s="822"/>
    </row>
    <row r="220" spans="2:11">
      <c r="B220" s="822"/>
      <c r="C220" s="822"/>
      <c r="D220" s="822"/>
      <c r="E220" s="822"/>
      <c r="F220" s="821"/>
      <c r="G220" s="822"/>
      <c r="H220" s="822"/>
      <c r="I220" s="822"/>
      <c r="J220" s="822"/>
      <c r="K220" s="822"/>
    </row>
    <row r="221" spans="2:11">
      <c r="B221" s="822"/>
      <c r="C221" s="822"/>
      <c r="D221" s="822"/>
      <c r="E221" s="822"/>
      <c r="F221" s="821"/>
      <c r="G221" s="822"/>
      <c r="H221" s="822"/>
      <c r="I221" s="822"/>
      <c r="J221" s="822"/>
      <c r="K221" s="822"/>
    </row>
    <row r="222" spans="2:11">
      <c r="B222" s="822"/>
      <c r="C222" s="822"/>
      <c r="D222" s="822"/>
      <c r="E222" s="822"/>
      <c r="F222" s="821"/>
      <c r="G222" s="822"/>
      <c r="H222" s="822"/>
      <c r="I222" s="822"/>
      <c r="J222" s="822"/>
      <c r="K222" s="822"/>
    </row>
    <row r="223" spans="2:11">
      <c r="B223" s="822"/>
      <c r="D223" s="822"/>
      <c r="E223" s="822"/>
      <c r="F223" s="821"/>
      <c r="G223" s="822"/>
    </row>
    <row r="224" spans="2:11">
      <c r="B224" s="822"/>
      <c r="D224" s="822"/>
      <c r="E224" s="822"/>
      <c r="F224" s="821"/>
      <c r="G224" s="822"/>
    </row>
    <row r="225" spans="2:7">
      <c r="B225" s="822"/>
      <c r="D225" s="822"/>
      <c r="E225" s="822"/>
      <c r="F225" s="821"/>
      <c r="G225" s="822"/>
    </row>
    <row r="226" spans="2:7">
      <c r="B226" s="822"/>
      <c r="D226" s="822"/>
      <c r="E226" s="822"/>
      <c r="F226" s="821"/>
      <c r="G226" s="822"/>
    </row>
    <row r="227" spans="2:7">
      <c r="B227" s="822"/>
      <c r="D227" s="822"/>
      <c r="E227" s="822"/>
      <c r="F227" s="821"/>
      <c r="G227" s="822"/>
    </row>
    <row r="228" spans="2:7">
      <c r="B228" s="822"/>
      <c r="D228" s="822"/>
      <c r="E228" s="822"/>
      <c r="F228" s="821"/>
      <c r="G228" s="822"/>
    </row>
    <row r="229" spans="2:7">
      <c r="B229" s="822"/>
      <c r="D229" s="822"/>
      <c r="E229" s="822"/>
      <c r="F229" s="821"/>
      <c r="G229" s="822"/>
    </row>
    <row r="230" spans="2:7">
      <c r="B230" s="822"/>
      <c r="D230" s="822"/>
      <c r="E230" s="822"/>
      <c r="F230" s="821"/>
      <c r="G230" s="822"/>
    </row>
  </sheetData>
  <sheetProtection sheet="1" selectLockedCells="1" selectUnlockedCells="1"/>
  <mergeCells count="285">
    <mergeCell ref="K3:K10"/>
    <mergeCell ref="K11:K18"/>
    <mergeCell ref="K19:K26"/>
    <mergeCell ref="K27:K34"/>
    <mergeCell ref="J35:J42"/>
    <mergeCell ref="J43:J50"/>
    <mergeCell ref="K35:K42"/>
    <mergeCell ref="K43:K50"/>
    <mergeCell ref="J3:J10"/>
    <mergeCell ref="J11:J18"/>
    <mergeCell ref="J19:J26"/>
    <mergeCell ref="J27:J34"/>
    <mergeCell ref="I3:I10"/>
    <mergeCell ref="I11:I18"/>
    <mergeCell ref="E75:E82"/>
    <mergeCell ref="E35:E42"/>
    <mergeCell ref="F11:F18"/>
    <mergeCell ref="G3:G10"/>
    <mergeCell ref="G11:G18"/>
    <mergeCell ref="G19:G26"/>
    <mergeCell ref="I27:I34"/>
    <mergeCell ref="I35:I42"/>
    <mergeCell ref="I43:I50"/>
    <mergeCell ref="I19:I26"/>
    <mergeCell ref="H19:H26"/>
    <mergeCell ref="H27:H34"/>
    <mergeCell ref="H35:H42"/>
    <mergeCell ref="H43:H50"/>
    <mergeCell ref="E11:E18"/>
    <mergeCell ref="F35:F42"/>
    <mergeCell ref="H51:H58"/>
    <mergeCell ref="F3:F10"/>
    <mergeCell ref="G59:G66"/>
    <mergeCell ref="G67:G74"/>
    <mergeCell ref="G27:G34"/>
    <mergeCell ref="E67:E74"/>
    <mergeCell ref="D3:D10"/>
    <mergeCell ref="B35:B42"/>
    <mergeCell ref="B3:B10"/>
    <mergeCell ref="B11:B18"/>
    <mergeCell ref="C3:C10"/>
    <mergeCell ref="C11:C18"/>
    <mergeCell ref="C19:C26"/>
    <mergeCell ref="C27:C34"/>
    <mergeCell ref="D35:D42"/>
    <mergeCell ref="B155:B162"/>
    <mergeCell ref="H3:H10"/>
    <mergeCell ref="H11:H18"/>
    <mergeCell ref="B19:B26"/>
    <mergeCell ref="B27:B34"/>
    <mergeCell ref="B43:B50"/>
    <mergeCell ref="D59:D66"/>
    <mergeCell ref="B51:B58"/>
    <mergeCell ref="C35:C42"/>
    <mergeCell ref="C43:C50"/>
    <mergeCell ref="G131:G138"/>
    <mergeCell ref="H139:H146"/>
    <mergeCell ref="H147:H154"/>
    <mergeCell ref="C59:C66"/>
    <mergeCell ref="C99:C106"/>
    <mergeCell ref="C75:C82"/>
    <mergeCell ref="C155:C162"/>
    <mergeCell ref="C115:C122"/>
    <mergeCell ref="D131:D138"/>
    <mergeCell ref="D99:D106"/>
    <mergeCell ref="E83:E90"/>
    <mergeCell ref="D115:D122"/>
    <mergeCell ref="D27:D34"/>
    <mergeCell ref="D11:D18"/>
    <mergeCell ref="B227:B230"/>
    <mergeCell ref="K203:K210"/>
    <mergeCell ref="B211:B218"/>
    <mergeCell ref="B179:B186"/>
    <mergeCell ref="K179:K186"/>
    <mergeCell ref="C219:C222"/>
    <mergeCell ref="C195:C202"/>
    <mergeCell ref="C203:C210"/>
    <mergeCell ref="C211:C218"/>
    <mergeCell ref="B195:B202"/>
    <mergeCell ref="J211:J218"/>
    <mergeCell ref="J219:J222"/>
    <mergeCell ref="I195:I202"/>
    <mergeCell ref="I203:I210"/>
    <mergeCell ref="I211:I218"/>
    <mergeCell ref="I219:I222"/>
    <mergeCell ref="J203:J210"/>
    <mergeCell ref="H179:H186"/>
    <mergeCell ref="D211:D218"/>
    <mergeCell ref="B219:B226"/>
    <mergeCell ref="B203:B210"/>
    <mergeCell ref="E187:E194"/>
    <mergeCell ref="E179:E186"/>
    <mergeCell ref="D219:D226"/>
    <mergeCell ref="C163:C170"/>
    <mergeCell ref="D195:D202"/>
    <mergeCell ref="G123:G130"/>
    <mergeCell ref="B163:B170"/>
    <mergeCell ref="B171:B178"/>
    <mergeCell ref="B147:B154"/>
    <mergeCell ref="B123:B130"/>
    <mergeCell ref="C51:C58"/>
    <mergeCell ref="B115:B122"/>
    <mergeCell ref="C171:C178"/>
    <mergeCell ref="B59:B66"/>
    <mergeCell ref="B99:B106"/>
    <mergeCell ref="C107:C114"/>
    <mergeCell ref="B67:B74"/>
    <mergeCell ref="B75:B82"/>
    <mergeCell ref="B83:B90"/>
    <mergeCell ref="B107:B114"/>
    <mergeCell ref="B91:B98"/>
    <mergeCell ref="B131:B138"/>
    <mergeCell ref="B187:B194"/>
    <mergeCell ref="B139:B146"/>
    <mergeCell ref="D107:D114"/>
    <mergeCell ref="D187:D194"/>
    <mergeCell ref="D179:D186"/>
    <mergeCell ref="E27:E34"/>
    <mergeCell ref="E59:E66"/>
    <mergeCell ref="G51:G58"/>
    <mergeCell ref="E51:E58"/>
    <mergeCell ref="E3:E10"/>
    <mergeCell ref="F19:F26"/>
    <mergeCell ref="E43:E50"/>
    <mergeCell ref="G35:G42"/>
    <mergeCell ref="G43:G50"/>
    <mergeCell ref="F43:F50"/>
    <mergeCell ref="F51:F58"/>
    <mergeCell ref="F27:F34"/>
    <mergeCell ref="K219:K222"/>
    <mergeCell ref="K211:K218"/>
    <mergeCell ref="H211:H218"/>
    <mergeCell ref="D91:D98"/>
    <mergeCell ref="D51:D58"/>
    <mergeCell ref="D19:D26"/>
    <mergeCell ref="E19:E26"/>
    <mergeCell ref="D75:D82"/>
    <mergeCell ref="D43:D50"/>
    <mergeCell ref="D67:D74"/>
    <mergeCell ref="I131:I138"/>
    <mergeCell ref="J131:J138"/>
    <mergeCell ref="J195:J202"/>
    <mergeCell ref="D163:D170"/>
    <mergeCell ref="D139:D146"/>
    <mergeCell ref="D155:D162"/>
    <mergeCell ref="J155:J162"/>
    <mergeCell ref="J163:J170"/>
    <mergeCell ref="J171:J178"/>
    <mergeCell ref="I155:I162"/>
    <mergeCell ref="J115:J122"/>
    <mergeCell ref="J123:J130"/>
    <mergeCell ref="E123:E130"/>
    <mergeCell ref="G115:G122"/>
    <mergeCell ref="K187:K194"/>
    <mergeCell ref="J147:J154"/>
    <mergeCell ref="K155:K162"/>
    <mergeCell ref="J107:J114"/>
    <mergeCell ref="E195:E202"/>
    <mergeCell ref="E107:E114"/>
    <mergeCell ref="E131:E138"/>
    <mergeCell ref="E147:E154"/>
    <mergeCell ref="E155:E162"/>
    <mergeCell ref="I187:I194"/>
    <mergeCell ref="I147:I154"/>
    <mergeCell ref="E171:E178"/>
    <mergeCell ref="E139:E146"/>
    <mergeCell ref="F123:F130"/>
    <mergeCell ref="K195:K202"/>
    <mergeCell ref="J187:J194"/>
    <mergeCell ref="K171:K178"/>
    <mergeCell ref="K147:K154"/>
    <mergeCell ref="G139:G146"/>
    <mergeCell ref="G147:G154"/>
    <mergeCell ref="I139:I146"/>
    <mergeCell ref="J139:J146"/>
    <mergeCell ref="K163:K170"/>
    <mergeCell ref="I171:I178"/>
    <mergeCell ref="K99:K106"/>
    <mergeCell ref="K83:K90"/>
    <mergeCell ref="I179:I186"/>
    <mergeCell ref="G179:G186"/>
    <mergeCell ref="I163:I170"/>
    <mergeCell ref="G171:G178"/>
    <mergeCell ref="J99:J106"/>
    <mergeCell ref="I99:I106"/>
    <mergeCell ref="J179:J186"/>
    <mergeCell ref="K115:K122"/>
    <mergeCell ref="K123:K130"/>
    <mergeCell ref="I107:I114"/>
    <mergeCell ref="I115:I122"/>
    <mergeCell ref="I123:I130"/>
    <mergeCell ref="H123:H130"/>
    <mergeCell ref="H115:H122"/>
    <mergeCell ref="K107:K114"/>
    <mergeCell ref="K131:K138"/>
    <mergeCell ref="K139:K146"/>
    <mergeCell ref="K51:K58"/>
    <mergeCell ref="K59:K66"/>
    <mergeCell ref="K67:K74"/>
    <mergeCell ref="J91:J98"/>
    <mergeCell ref="J83:J90"/>
    <mergeCell ref="I59:I66"/>
    <mergeCell ref="J51:J58"/>
    <mergeCell ref="J59:J66"/>
    <mergeCell ref="I51:I58"/>
    <mergeCell ref="J67:J74"/>
    <mergeCell ref="J75:J82"/>
    <mergeCell ref="I75:I82"/>
    <mergeCell ref="I83:I90"/>
    <mergeCell ref="K91:K98"/>
    <mergeCell ref="I91:I98"/>
    <mergeCell ref="I67:I74"/>
    <mergeCell ref="K75:K82"/>
    <mergeCell ref="G227:G230"/>
    <mergeCell ref="G187:G194"/>
    <mergeCell ref="G195:G202"/>
    <mergeCell ref="G203:G210"/>
    <mergeCell ref="G211:G218"/>
    <mergeCell ref="G75:G82"/>
    <mergeCell ref="G83:G90"/>
    <mergeCell ref="D123:D130"/>
    <mergeCell ref="D83:D90"/>
    <mergeCell ref="E163:E170"/>
    <mergeCell ref="F99:F106"/>
    <mergeCell ref="G91:G98"/>
    <mergeCell ref="G99:G106"/>
    <mergeCell ref="G107:G114"/>
    <mergeCell ref="E115:E122"/>
    <mergeCell ref="F147:F154"/>
    <mergeCell ref="E99:E106"/>
    <mergeCell ref="E91:E98"/>
    <mergeCell ref="G219:G226"/>
    <mergeCell ref="D227:D230"/>
    <mergeCell ref="E227:E230"/>
    <mergeCell ref="D203:D210"/>
    <mergeCell ref="E203:E210"/>
    <mergeCell ref="F163:F170"/>
    <mergeCell ref="F155:F162"/>
    <mergeCell ref="E219:E226"/>
    <mergeCell ref="E211:E218"/>
    <mergeCell ref="F139:F146"/>
    <mergeCell ref="F131:F138"/>
    <mergeCell ref="H219:H222"/>
    <mergeCell ref="H187:H194"/>
    <mergeCell ref="H195:H202"/>
    <mergeCell ref="H203:H210"/>
    <mergeCell ref="G155:G162"/>
    <mergeCell ref="G163:G170"/>
    <mergeCell ref="H171:H178"/>
    <mergeCell ref="H131:H138"/>
    <mergeCell ref="H155:H162"/>
    <mergeCell ref="H163:H170"/>
    <mergeCell ref="C131:C138"/>
    <mergeCell ref="C123:C130"/>
    <mergeCell ref="C147:C154"/>
    <mergeCell ref="C83:C90"/>
    <mergeCell ref="C91:C98"/>
    <mergeCell ref="C139:C146"/>
    <mergeCell ref="H59:H66"/>
    <mergeCell ref="F107:F114"/>
    <mergeCell ref="F115:F122"/>
    <mergeCell ref="F59:F66"/>
    <mergeCell ref="H99:H106"/>
    <mergeCell ref="H107:H114"/>
    <mergeCell ref="H67:H74"/>
    <mergeCell ref="H75:H82"/>
    <mergeCell ref="H91:H98"/>
    <mergeCell ref="H83:H90"/>
    <mergeCell ref="D147:D154"/>
    <mergeCell ref="C67:C74"/>
    <mergeCell ref="F67:F74"/>
    <mergeCell ref="F75:F82"/>
    <mergeCell ref="F83:F90"/>
    <mergeCell ref="F91:F98"/>
    <mergeCell ref="F227:F230"/>
    <mergeCell ref="F203:F210"/>
    <mergeCell ref="F171:F178"/>
    <mergeCell ref="F179:F186"/>
    <mergeCell ref="F211:F218"/>
    <mergeCell ref="F219:F226"/>
    <mergeCell ref="F195:F202"/>
    <mergeCell ref="F187:F194"/>
    <mergeCell ref="C179:C186"/>
    <mergeCell ref="C187:C194"/>
    <mergeCell ref="D171:D178"/>
  </mergeCells>
  <phoneticPr fontId="14" type="noConversion"/>
  <pageMargins left="0.70866141732283472" right="0.70866141732283472" top="0.74803149606299213" bottom="0.74803149606299213" header="0.31496062992125984" footer="0.31496062992125984"/>
  <pageSetup paperSize="9" scale="20" orientation="portrait" r:id="rId1"/>
  <headerFooter alignWithMargins="0">
    <oddFooter xml:space="preserve">&amp;L&amp;"Arial Narrow,Normal"&amp;8Please check you have the latest working version.  Internal.&amp;C&amp;"Arial Narrow,Normal"&amp;8page &amp;P/&amp;N
&amp;R&amp;"Arial Narrow,Normal"&amp;9Property of Faurecia
FAU-F-SPG-4031-Issue 01- 10/14&amp;10
</oddFooter>
  </headerFooter>
  <rowBreaks count="2" manualBreakCount="2">
    <brk id="42" max="16383" man="1"/>
    <brk id="82"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tabColor indexed="54"/>
    <pageSetUpPr fitToPage="1"/>
  </sheetPr>
  <dimension ref="A1:N35"/>
  <sheetViews>
    <sheetView view="pageBreakPreview" zoomScaleNormal="55" workbookViewId="0">
      <pane xSplit="1" ySplit="4" topLeftCell="B13" activePane="bottomRight" state="frozen"/>
      <selection pane="topRight" activeCell="B1" sqref="B1"/>
      <selection pane="bottomLeft" activeCell="A5" sqref="A5"/>
      <selection pane="bottomRight" activeCell="J22" sqref="J22"/>
    </sheetView>
  </sheetViews>
  <sheetFormatPr baseColWidth="10" defaultColWidth="9.140625" defaultRowHeight="12.75"/>
  <cols>
    <col min="1" max="1" width="9.140625" customWidth="1"/>
    <col min="2" max="2" width="10.42578125" customWidth="1"/>
    <col min="3" max="3" width="24.28515625" customWidth="1"/>
    <col min="4" max="4" width="32.42578125" customWidth="1"/>
    <col min="5" max="5" width="17.7109375" customWidth="1"/>
    <col min="6" max="6" width="18.5703125" customWidth="1"/>
    <col min="7" max="7" width="19.7109375" customWidth="1"/>
    <col min="8" max="8" width="35.7109375" customWidth="1"/>
    <col min="9" max="9" width="25.7109375" customWidth="1"/>
    <col min="10" max="10" width="31.42578125" customWidth="1"/>
    <col min="11" max="13" width="14.7109375" customWidth="1"/>
    <col min="14" max="14" width="28.5703125" customWidth="1"/>
  </cols>
  <sheetData>
    <row r="1" spans="1:14" ht="29.25" customHeight="1">
      <c r="A1" s="195"/>
      <c r="B1" s="894" t="s">
        <v>625</v>
      </c>
      <c r="C1" s="895"/>
      <c r="D1" s="895"/>
      <c r="E1" s="895"/>
      <c r="F1" s="895"/>
      <c r="G1" s="895"/>
      <c r="H1" s="895"/>
      <c r="I1" s="895"/>
      <c r="J1" s="895"/>
      <c r="K1" s="895"/>
      <c r="L1" s="895"/>
      <c r="M1" s="895"/>
      <c r="N1" s="896"/>
    </row>
    <row r="2" spans="1:14" ht="38.25" customHeight="1" thickBot="1">
      <c r="A2" s="196"/>
      <c r="B2" s="897"/>
      <c r="C2" s="898"/>
      <c r="D2" s="898"/>
      <c r="E2" s="898"/>
      <c r="F2" s="898"/>
      <c r="G2" s="898"/>
      <c r="H2" s="898"/>
      <c r="I2" s="898"/>
      <c r="J2" s="898"/>
      <c r="K2" s="898"/>
      <c r="L2" s="898"/>
      <c r="M2" s="898"/>
      <c r="N2" s="899"/>
    </row>
    <row r="3" spans="1:14" ht="26.25" thickBot="1">
      <c r="A3" s="900" t="s">
        <v>626</v>
      </c>
      <c r="B3" s="902" t="s">
        <v>627</v>
      </c>
      <c r="C3" s="904" t="s">
        <v>182</v>
      </c>
      <c r="D3" s="904" t="s">
        <v>628</v>
      </c>
      <c r="E3" s="83" t="s">
        <v>629</v>
      </c>
      <c r="F3" s="83" t="s">
        <v>630</v>
      </c>
      <c r="G3" s="83" t="s">
        <v>631</v>
      </c>
      <c r="H3" s="892" t="s">
        <v>632</v>
      </c>
      <c r="I3" s="84" t="s">
        <v>145</v>
      </c>
      <c r="J3" s="84" t="s">
        <v>146</v>
      </c>
      <c r="K3" s="84" t="s">
        <v>629</v>
      </c>
      <c r="L3" s="84" t="s">
        <v>630</v>
      </c>
      <c r="M3" s="84" t="s">
        <v>631</v>
      </c>
      <c r="N3" s="84" t="s">
        <v>147</v>
      </c>
    </row>
    <row r="4" spans="1:14" ht="46.5" customHeight="1" thickBot="1">
      <c r="A4" s="901"/>
      <c r="B4" s="903"/>
      <c r="C4" s="905"/>
      <c r="D4" s="905"/>
      <c r="E4" s="36" t="s">
        <v>633</v>
      </c>
      <c r="F4" s="36" t="s">
        <v>634</v>
      </c>
      <c r="G4" s="36" t="s">
        <v>635</v>
      </c>
      <c r="H4" s="893"/>
      <c r="I4" s="53"/>
      <c r="J4" s="53"/>
      <c r="K4" s="54" t="s">
        <v>148</v>
      </c>
      <c r="L4" s="54" t="s">
        <v>149</v>
      </c>
      <c r="M4" s="54" t="s">
        <v>150</v>
      </c>
      <c r="N4" s="53"/>
    </row>
    <row r="5" spans="1:14" ht="158.25" customHeight="1" thickTop="1" thickBot="1">
      <c r="A5" s="909" t="s">
        <v>636</v>
      </c>
      <c r="B5" s="193" t="s">
        <v>637</v>
      </c>
      <c r="C5" s="37" t="s">
        <v>201</v>
      </c>
      <c r="D5" s="38" t="s">
        <v>202</v>
      </c>
      <c r="E5" s="39" t="s">
        <v>638</v>
      </c>
      <c r="F5" s="39" t="s">
        <v>639</v>
      </c>
      <c r="G5" s="39" t="s">
        <v>640</v>
      </c>
      <c r="H5" s="40" t="s">
        <v>203</v>
      </c>
      <c r="I5" s="55" t="s">
        <v>205</v>
      </c>
      <c r="J5" s="56" t="s">
        <v>206</v>
      </c>
      <c r="K5" s="57" t="s">
        <v>151</v>
      </c>
      <c r="L5" s="57" t="s">
        <v>152</v>
      </c>
      <c r="M5" s="57" t="s">
        <v>153</v>
      </c>
      <c r="N5" s="57" t="s">
        <v>207</v>
      </c>
    </row>
    <row r="6" spans="1:14" ht="76.5" customHeight="1" thickBot="1">
      <c r="A6" s="910"/>
      <c r="B6" s="193" t="s">
        <v>204</v>
      </c>
      <c r="C6" s="80" t="s">
        <v>209</v>
      </c>
      <c r="D6" s="41" t="s">
        <v>210</v>
      </c>
      <c r="E6" s="39" t="s">
        <v>638</v>
      </c>
      <c r="F6" s="39" t="s">
        <v>639</v>
      </c>
      <c r="G6" s="39" t="s">
        <v>640</v>
      </c>
      <c r="H6" s="40" t="s">
        <v>211</v>
      </c>
      <c r="I6" s="55" t="s">
        <v>215</v>
      </c>
      <c r="J6" s="58" t="s">
        <v>217</v>
      </c>
      <c r="K6" s="57" t="s">
        <v>151</v>
      </c>
      <c r="L6" s="57" t="s">
        <v>154</v>
      </c>
      <c r="M6" s="57" t="s">
        <v>153</v>
      </c>
      <c r="N6" s="57" t="s">
        <v>219</v>
      </c>
    </row>
    <row r="7" spans="1:14" ht="75" customHeight="1" thickBot="1">
      <c r="A7" s="910"/>
      <c r="B7" s="193" t="s">
        <v>208</v>
      </c>
      <c r="C7" s="41" t="s">
        <v>212</v>
      </c>
      <c r="D7" s="41" t="s">
        <v>213</v>
      </c>
      <c r="E7" s="39" t="s">
        <v>638</v>
      </c>
      <c r="F7" s="39" t="s">
        <v>639</v>
      </c>
      <c r="G7" s="39" t="s">
        <v>640</v>
      </c>
      <c r="H7" s="41" t="s">
        <v>214</v>
      </c>
      <c r="I7" s="58" t="s">
        <v>216</v>
      </c>
      <c r="J7" s="58" t="s">
        <v>218</v>
      </c>
      <c r="K7" s="57" t="s">
        <v>151</v>
      </c>
      <c r="L7" s="57" t="s">
        <v>154</v>
      </c>
      <c r="M7" s="57" t="s">
        <v>153</v>
      </c>
      <c r="N7" s="58" t="s">
        <v>220</v>
      </c>
    </row>
    <row r="8" spans="1:14" ht="77.25" thickBot="1">
      <c r="A8" s="911" t="s">
        <v>641</v>
      </c>
      <c r="B8" s="193" t="s">
        <v>642</v>
      </c>
      <c r="C8" s="62" t="s">
        <v>137</v>
      </c>
      <c r="D8" s="63" t="s">
        <v>643</v>
      </c>
      <c r="E8" s="39" t="s">
        <v>638</v>
      </c>
      <c r="F8" s="39" t="s">
        <v>639</v>
      </c>
      <c r="G8" s="39" t="s">
        <v>640</v>
      </c>
      <c r="H8" s="40" t="s">
        <v>644</v>
      </c>
      <c r="I8" s="59" t="s">
        <v>175</v>
      </c>
      <c r="J8" s="58" t="s">
        <v>155</v>
      </c>
      <c r="K8" s="57" t="s">
        <v>151</v>
      </c>
      <c r="L8" s="57" t="s">
        <v>152</v>
      </c>
      <c r="M8" s="57" t="s">
        <v>153</v>
      </c>
      <c r="N8" s="57" t="s">
        <v>156</v>
      </c>
    </row>
    <row r="9" spans="1:14" ht="129.75" customHeight="1" thickBot="1">
      <c r="A9" s="900"/>
      <c r="B9" s="193" t="s">
        <v>645</v>
      </c>
      <c r="C9" s="62" t="s">
        <v>138</v>
      </c>
      <c r="D9" s="63" t="s">
        <v>646</v>
      </c>
      <c r="E9" s="39" t="s">
        <v>638</v>
      </c>
      <c r="F9" s="39" t="s">
        <v>639</v>
      </c>
      <c r="G9" s="39" t="s">
        <v>640</v>
      </c>
      <c r="H9" s="64" t="s">
        <v>144</v>
      </c>
      <c r="I9" s="59" t="s">
        <v>176</v>
      </c>
      <c r="J9" s="58" t="s">
        <v>157</v>
      </c>
      <c r="K9" s="57" t="s">
        <v>151</v>
      </c>
      <c r="L9" s="57" t="s">
        <v>152</v>
      </c>
      <c r="M9" s="57" t="s">
        <v>153</v>
      </c>
      <c r="N9" s="57" t="s">
        <v>158</v>
      </c>
    </row>
    <row r="10" spans="1:14" ht="93" customHeight="1" thickBot="1">
      <c r="A10" s="910"/>
      <c r="B10" s="193" t="s">
        <v>647</v>
      </c>
      <c r="C10" s="65" t="s">
        <v>139</v>
      </c>
      <c r="D10" s="41" t="s">
        <v>648</v>
      </c>
      <c r="E10" s="39" t="s">
        <v>638</v>
      </c>
      <c r="F10" s="39" t="s">
        <v>639</v>
      </c>
      <c r="G10" s="39" t="s">
        <v>640</v>
      </c>
      <c r="H10" s="40" t="s">
        <v>649</v>
      </c>
      <c r="I10" s="60" t="s">
        <v>178</v>
      </c>
      <c r="J10" s="58" t="s">
        <v>159</v>
      </c>
      <c r="K10" s="57" t="s">
        <v>151</v>
      </c>
      <c r="L10" s="57" t="s">
        <v>152</v>
      </c>
      <c r="M10" s="57" t="s">
        <v>153</v>
      </c>
      <c r="N10" s="57" t="s">
        <v>160</v>
      </c>
    </row>
    <row r="11" spans="1:14" ht="106.5" customHeight="1" thickBot="1">
      <c r="A11" s="910"/>
      <c r="B11" s="193" t="s">
        <v>650</v>
      </c>
      <c r="C11" s="62" t="s">
        <v>140</v>
      </c>
      <c r="D11" s="41" t="s">
        <v>651</v>
      </c>
      <c r="E11" s="39" t="s">
        <v>638</v>
      </c>
      <c r="F11" s="39" t="s">
        <v>639</v>
      </c>
      <c r="G11" s="39" t="s">
        <v>640</v>
      </c>
      <c r="H11" s="40" t="s">
        <v>652</v>
      </c>
      <c r="I11" s="59" t="s">
        <v>179</v>
      </c>
      <c r="J11" s="58" t="s">
        <v>161</v>
      </c>
      <c r="K11" s="57" t="s">
        <v>151</v>
      </c>
      <c r="L11" s="57" t="s">
        <v>152</v>
      </c>
      <c r="M11" s="57" t="s">
        <v>153</v>
      </c>
      <c r="N11" s="57" t="s">
        <v>162</v>
      </c>
    </row>
    <row r="12" spans="1:14" ht="93" customHeight="1" thickBot="1">
      <c r="A12" s="910"/>
      <c r="B12" s="193" t="s">
        <v>653</v>
      </c>
      <c r="C12" s="62" t="s">
        <v>141</v>
      </c>
      <c r="D12" s="41" t="s">
        <v>654</v>
      </c>
      <c r="E12" s="66" t="s">
        <v>655</v>
      </c>
      <c r="F12" s="39" t="s">
        <v>639</v>
      </c>
      <c r="G12" s="39" t="s">
        <v>640</v>
      </c>
      <c r="H12" s="67" t="s">
        <v>309</v>
      </c>
      <c r="I12" s="59" t="s">
        <v>180</v>
      </c>
      <c r="J12" s="58" t="s">
        <v>163</v>
      </c>
      <c r="K12" s="61" t="s">
        <v>164</v>
      </c>
      <c r="L12" s="57" t="s">
        <v>152</v>
      </c>
      <c r="M12" s="57" t="s">
        <v>153</v>
      </c>
      <c r="N12" s="57" t="s">
        <v>165</v>
      </c>
    </row>
    <row r="13" spans="1:14" ht="74.25" customHeight="1" thickBot="1">
      <c r="A13" s="911" t="s">
        <v>656</v>
      </c>
      <c r="B13" s="193" t="s">
        <v>657</v>
      </c>
      <c r="C13" s="62" t="s">
        <v>142</v>
      </c>
      <c r="D13" s="41" t="s">
        <v>658</v>
      </c>
      <c r="E13" s="66" t="s">
        <v>655</v>
      </c>
      <c r="F13" s="39" t="s">
        <v>639</v>
      </c>
      <c r="G13" s="39" t="s">
        <v>640</v>
      </c>
      <c r="H13" s="67" t="s">
        <v>310</v>
      </c>
      <c r="I13" s="59" t="s">
        <v>312</v>
      </c>
      <c r="J13" s="58" t="s">
        <v>166</v>
      </c>
      <c r="K13" s="61" t="s">
        <v>167</v>
      </c>
      <c r="L13" s="57" t="s">
        <v>152</v>
      </c>
      <c r="M13" s="57" t="s">
        <v>153</v>
      </c>
      <c r="N13" s="57" t="s">
        <v>168</v>
      </c>
    </row>
    <row r="14" spans="1:14" ht="60.75" hidden="1" customHeight="1" thickBot="1">
      <c r="A14" s="901"/>
      <c r="B14" s="193">
        <v>10</v>
      </c>
      <c r="C14" s="68" t="s">
        <v>196</v>
      </c>
      <c r="D14" s="69" t="s">
        <v>131</v>
      </c>
      <c r="E14" s="70" t="s">
        <v>655</v>
      </c>
      <c r="F14" s="71" t="s">
        <v>639</v>
      </c>
      <c r="G14" s="71" t="s">
        <v>640</v>
      </c>
      <c r="H14" s="67" t="s">
        <v>132</v>
      </c>
      <c r="I14" s="72" t="s">
        <v>197</v>
      </c>
      <c r="J14" s="73" t="s">
        <v>169</v>
      </c>
      <c r="K14" s="74" t="s">
        <v>164</v>
      </c>
      <c r="L14" s="75" t="s">
        <v>154</v>
      </c>
      <c r="M14" s="75" t="s">
        <v>153</v>
      </c>
      <c r="N14" s="75" t="s">
        <v>170</v>
      </c>
    </row>
    <row r="15" spans="1:14" ht="74.25" hidden="1" customHeight="1" thickTop="1" thickBot="1">
      <c r="A15" s="909" t="s">
        <v>133</v>
      </c>
      <c r="B15" s="194">
        <v>11</v>
      </c>
      <c r="C15" s="76" t="s">
        <v>198</v>
      </c>
      <c r="D15" s="77" t="s">
        <v>134</v>
      </c>
      <c r="E15" s="70" t="s">
        <v>655</v>
      </c>
      <c r="F15" s="71" t="s">
        <v>639</v>
      </c>
      <c r="G15" s="71" t="s">
        <v>640</v>
      </c>
      <c r="H15" s="197" t="s">
        <v>135</v>
      </c>
      <c r="I15" s="78" t="s">
        <v>199</v>
      </c>
      <c r="J15" s="79" t="s">
        <v>171</v>
      </c>
      <c r="K15" s="74" t="s">
        <v>200</v>
      </c>
      <c r="L15" s="75" t="s">
        <v>154</v>
      </c>
      <c r="M15" s="75" t="s">
        <v>153</v>
      </c>
      <c r="N15" s="85" t="s">
        <v>172</v>
      </c>
    </row>
    <row r="16" spans="1:14" ht="71.25" customHeight="1" thickBot="1">
      <c r="A16" s="912"/>
      <c r="B16" s="194" t="s">
        <v>136</v>
      </c>
      <c r="C16" s="62" t="s">
        <v>143</v>
      </c>
      <c r="D16" s="41" t="s">
        <v>242</v>
      </c>
      <c r="E16" s="66" t="s">
        <v>655</v>
      </c>
      <c r="F16" s="39" t="s">
        <v>243</v>
      </c>
      <c r="G16" s="39" t="s">
        <v>640</v>
      </c>
      <c r="H16" s="67" t="s">
        <v>311</v>
      </c>
      <c r="I16" s="59" t="s">
        <v>181</v>
      </c>
      <c r="J16" s="58" t="s">
        <v>173</v>
      </c>
      <c r="K16" s="61" t="s">
        <v>164</v>
      </c>
      <c r="L16" s="57" t="s">
        <v>152</v>
      </c>
      <c r="M16" s="57" t="s">
        <v>153</v>
      </c>
      <c r="N16" s="57" t="s">
        <v>174</v>
      </c>
    </row>
    <row r="17" spans="1:10" ht="25.5" customHeight="1">
      <c r="B17" s="907"/>
      <c r="C17" s="908"/>
      <c r="D17" s="50"/>
      <c r="E17" s="49"/>
      <c r="F17" s="49"/>
      <c r="G17" s="49"/>
      <c r="H17" s="48"/>
      <c r="I17" s="35"/>
      <c r="J17" s="35"/>
    </row>
    <row r="18" spans="1:10">
      <c r="B18" s="35"/>
      <c r="C18" s="35"/>
      <c r="D18" s="35"/>
      <c r="E18" s="35"/>
      <c r="F18" s="35"/>
      <c r="G18" s="35"/>
      <c r="H18" s="35"/>
      <c r="I18" s="35"/>
      <c r="J18" s="35"/>
    </row>
    <row r="19" spans="1:10" ht="13.5" customHeight="1" thickBot="1">
      <c r="A19" s="27"/>
      <c r="B19" s="44"/>
      <c r="C19" s="906"/>
      <c r="D19" s="906"/>
      <c r="E19" s="28"/>
      <c r="F19" s="28"/>
      <c r="G19" s="28"/>
      <c r="H19" s="28"/>
    </row>
    <row r="20" spans="1:10">
      <c r="A20" s="27"/>
      <c r="B20" s="28"/>
      <c r="C20" s="191" t="s">
        <v>252</v>
      </c>
      <c r="D20" s="192" t="s">
        <v>253</v>
      </c>
      <c r="E20" s="28"/>
      <c r="F20" s="28"/>
      <c r="G20" s="28"/>
      <c r="H20" s="28"/>
    </row>
    <row r="21" spans="1:10" ht="14.25" customHeight="1" thickBot="1">
      <c r="A21" s="45"/>
      <c r="B21" s="45"/>
      <c r="C21" s="147" t="s">
        <v>303</v>
      </c>
      <c r="D21" s="142">
        <v>0.8</v>
      </c>
      <c r="E21" s="45"/>
      <c r="F21" s="45"/>
      <c r="G21" s="45"/>
      <c r="H21" s="45"/>
    </row>
    <row r="22" spans="1:10">
      <c r="A22" s="46"/>
      <c r="B22" s="45"/>
      <c r="C22" s="148" t="s">
        <v>304</v>
      </c>
      <c r="D22" s="143"/>
      <c r="E22" s="47"/>
      <c r="F22" s="47"/>
      <c r="G22" s="47"/>
      <c r="H22" s="45"/>
    </row>
    <row r="23" spans="1:10">
      <c r="A23" s="45"/>
      <c r="B23" s="45"/>
      <c r="C23" s="149" t="s">
        <v>250</v>
      </c>
      <c r="D23" s="139">
        <v>0.05</v>
      </c>
      <c r="E23" s="46"/>
      <c r="F23" s="46"/>
      <c r="G23" s="46"/>
      <c r="H23" s="46"/>
    </row>
    <row r="24" spans="1:10">
      <c r="A24" s="46"/>
      <c r="B24" s="45"/>
      <c r="C24" s="149" t="s">
        <v>254</v>
      </c>
      <c r="D24" s="140">
        <v>0.05</v>
      </c>
      <c r="E24" s="46"/>
      <c r="F24" s="46"/>
      <c r="G24" s="46"/>
      <c r="H24" s="46"/>
    </row>
    <row r="25" spans="1:10" ht="13.5" thickBot="1">
      <c r="A25" s="46"/>
      <c r="B25" s="45"/>
      <c r="C25" s="150" t="s">
        <v>251</v>
      </c>
      <c r="D25" s="141">
        <v>-0.1</v>
      </c>
      <c r="E25" s="46"/>
      <c r="F25" s="46"/>
      <c r="G25" s="46"/>
      <c r="H25" s="50"/>
    </row>
    <row r="26" spans="1:10" ht="13.5" thickBot="1">
      <c r="A26" s="45"/>
      <c r="B26" s="45"/>
      <c r="C26" s="151" t="s">
        <v>308</v>
      </c>
      <c r="D26" s="144">
        <v>0.1</v>
      </c>
      <c r="E26" s="46"/>
      <c r="F26" s="46"/>
      <c r="G26" s="46"/>
      <c r="H26" s="46"/>
    </row>
    <row r="27" spans="1:10" ht="26.25" thickBot="1">
      <c r="A27" s="45"/>
      <c r="B27" s="45"/>
      <c r="C27" s="59" t="s">
        <v>306</v>
      </c>
      <c r="D27" s="146">
        <v>-0.5</v>
      </c>
      <c r="E27" s="46"/>
      <c r="F27" s="46"/>
      <c r="G27" s="46"/>
      <c r="H27" s="46"/>
    </row>
    <row r="28" spans="1:10" ht="26.25" thickBot="1">
      <c r="A28" s="46"/>
      <c r="B28" s="45"/>
      <c r="C28" s="152" t="s">
        <v>305</v>
      </c>
      <c r="D28" s="145">
        <v>-0.1</v>
      </c>
      <c r="E28" s="46"/>
      <c r="F28" s="46"/>
      <c r="G28" s="46"/>
      <c r="H28" s="46"/>
    </row>
    <row r="29" spans="1:10">
      <c r="A29" s="46"/>
      <c r="B29" s="45"/>
      <c r="C29" s="51"/>
      <c r="D29" s="50"/>
      <c r="E29" s="46"/>
      <c r="F29" s="46"/>
      <c r="G29" s="46"/>
      <c r="H29" s="46"/>
    </row>
    <row r="30" spans="1:10">
      <c r="A30" s="46"/>
      <c r="B30" s="45"/>
      <c r="C30" s="51"/>
      <c r="D30" s="50"/>
      <c r="E30" s="52"/>
      <c r="F30" s="46"/>
      <c r="G30" s="46"/>
      <c r="H30" s="46"/>
    </row>
    <row r="31" spans="1:10">
      <c r="A31" s="45"/>
      <c r="B31" s="45"/>
      <c r="C31" s="51"/>
      <c r="D31" s="50"/>
      <c r="E31" s="52"/>
      <c r="F31" s="46"/>
      <c r="G31" s="46"/>
      <c r="H31" s="46"/>
    </row>
    <row r="32" spans="1:10">
      <c r="A32" s="46"/>
      <c r="B32" s="45"/>
      <c r="C32" s="51"/>
      <c r="D32" s="50"/>
      <c r="E32" s="52"/>
      <c r="F32" s="46"/>
      <c r="G32" s="46"/>
      <c r="H32" s="46"/>
    </row>
    <row r="33" spans="1:8">
      <c r="A33" s="45"/>
      <c r="B33" s="45"/>
      <c r="C33" s="51"/>
      <c r="D33" s="50"/>
      <c r="E33" s="52"/>
      <c r="F33" s="46"/>
      <c r="G33" s="46"/>
      <c r="H33" s="46"/>
    </row>
    <row r="34" spans="1:8">
      <c r="A34" s="45"/>
      <c r="B34" s="45"/>
      <c r="C34" s="51"/>
      <c r="D34" s="50"/>
      <c r="E34" s="52"/>
      <c r="F34" s="46"/>
      <c r="G34" s="46"/>
      <c r="H34" s="46"/>
    </row>
    <row r="35" spans="1:8">
      <c r="A35" s="27"/>
      <c r="B35" s="45"/>
      <c r="C35" s="46"/>
      <c r="D35" s="50"/>
      <c r="E35" s="49"/>
      <c r="F35" s="49"/>
      <c r="G35" s="49"/>
      <c r="H35" s="48"/>
    </row>
  </sheetData>
  <mergeCells count="12">
    <mergeCell ref="C19:D19"/>
    <mergeCell ref="B17:C17"/>
    <mergeCell ref="A5:A7"/>
    <mergeCell ref="A8:A12"/>
    <mergeCell ref="A13:A14"/>
    <mergeCell ref="A15:A16"/>
    <mergeCell ref="H3:H4"/>
    <mergeCell ref="B1:N2"/>
    <mergeCell ref="A3:A4"/>
    <mergeCell ref="B3:B4"/>
    <mergeCell ref="C3:C4"/>
    <mergeCell ref="D3:D4"/>
  </mergeCells>
  <phoneticPr fontId="14" type="noConversion"/>
  <pageMargins left="0.75" right="0.75" top="1" bottom="1" header="0.5" footer="0.5"/>
  <pageSetup paperSize="8" scale="55" orientation="landscape" r:id="rId1"/>
  <headerFooter alignWithMargins="0">
    <oddFooter>&amp;C&amp;Z&amp;F&amp;R&amp;D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9">
    <tabColor indexed="43"/>
    <pageSetUpPr fitToPage="1"/>
  </sheetPr>
  <dimension ref="A1:X359"/>
  <sheetViews>
    <sheetView showGridLines="0" zoomScale="85" zoomScaleNormal="85" zoomScaleSheetLayoutView="55" workbookViewId="0">
      <selection activeCell="B2" sqref="B2:W35"/>
    </sheetView>
  </sheetViews>
  <sheetFormatPr baseColWidth="10" defaultColWidth="11.42578125" defaultRowHeight="12"/>
  <cols>
    <col min="1" max="1" width="3.5703125" style="23" customWidth="1"/>
    <col min="2" max="16" width="11.42578125" style="23"/>
    <col min="17" max="21" width="11.42578125" style="24"/>
    <col min="22" max="16384" width="11.42578125" style="23"/>
  </cols>
  <sheetData>
    <row r="1" spans="2:24" ht="12.75" thickBot="1"/>
    <row r="2" spans="2:24" ht="409.6" thickBot="1">
      <c r="B2" s="257">
        <v>0</v>
      </c>
      <c r="C2" s="350" t="s">
        <v>354</v>
      </c>
      <c r="D2" s="350"/>
      <c r="E2" s="350"/>
      <c r="F2" s="350"/>
      <c r="G2" s="350"/>
      <c r="H2" s="351"/>
      <c r="I2" s="207"/>
      <c r="J2" s="208"/>
      <c r="K2" s="209"/>
      <c r="L2" s="257">
        <v>0</v>
      </c>
      <c r="M2" s="350" t="s">
        <v>391</v>
      </c>
      <c r="N2" s="359"/>
      <c r="O2" s="359"/>
      <c r="P2" s="360"/>
      <c r="Q2" s="209"/>
      <c r="R2" s="259">
        <v>0</v>
      </c>
      <c r="S2" s="361" t="s">
        <v>431</v>
      </c>
      <c r="T2" s="361"/>
      <c r="U2" s="361"/>
      <c r="V2" s="361"/>
      <c r="W2" s="352"/>
      <c r="X2" s="210"/>
    </row>
    <row r="3" spans="2:24" ht="78.75" thickBot="1">
      <c r="B3" s="362" t="s">
        <v>896</v>
      </c>
      <c r="C3" s="363"/>
      <c r="D3" s="363"/>
      <c r="E3" s="363"/>
      <c r="F3" s="363"/>
      <c r="G3" s="363"/>
      <c r="H3" s="363"/>
      <c r="I3" s="363"/>
      <c r="J3" s="364"/>
      <c r="K3" s="209"/>
      <c r="L3" s="365"/>
      <c r="M3" s="366"/>
      <c r="N3" s="366"/>
      <c r="O3" s="366"/>
      <c r="P3" s="367"/>
      <c r="Q3" s="209"/>
      <c r="R3" s="368" t="s">
        <v>393</v>
      </c>
      <c r="S3" s="369"/>
      <c r="T3" s="370" t="s">
        <v>394</v>
      </c>
      <c r="U3" s="370" t="s">
        <v>395</v>
      </c>
      <c r="V3" s="370" t="s">
        <v>432</v>
      </c>
      <c r="W3" s="371" t="s">
        <v>433</v>
      </c>
      <c r="X3" s="210"/>
    </row>
    <row r="4" spans="2:24" ht="12" customHeight="1">
      <c r="B4" s="368" t="s">
        <v>473</v>
      </c>
      <c r="C4" s="369"/>
      <c r="D4" s="331" t="s">
        <v>265</v>
      </c>
      <c r="E4" s="372" t="s">
        <v>355</v>
      </c>
      <c r="F4" s="369"/>
      <c r="G4" s="372" t="s">
        <v>356</v>
      </c>
      <c r="H4" s="369"/>
      <c r="I4" s="372" t="s">
        <v>358</v>
      </c>
      <c r="J4" s="373"/>
      <c r="K4" s="213"/>
      <c r="L4" s="374"/>
      <c r="M4" s="375"/>
      <c r="N4" s="375"/>
      <c r="O4" s="375"/>
      <c r="P4" s="376"/>
      <c r="Q4" s="213"/>
      <c r="R4" s="377"/>
      <c r="S4" s="378"/>
      <c r="T4" s="379"/>
      <c r="U4" s="379"/>
      <c r="V4" s="379"/>
      <c r="W4" s="380"/>
      <c r="X4" s="214"/>
    </row>
    <row r="5" spans="2:24" ht="12" customHeight="1">
      <c r="B5" s="381"/>
      <c r="C5" s="382"/>
      <c r="D5" s="332"/>
      <c r="E5" s="383"/>
      <c r="F5" s="382"/>
      <c r="G5" s="383"/>
      <c r="H5" s="382"/>
      <c r="I5" s="383"/>
      <c r="J5" s="384"/>
      <c r="K5" s="213"/>
      <c r="L5" s="374"/>
      <c r="M5" s="375"/>
      <c r="N5" s="375"/>
      <c r="O5" s="375"/>
      <c r="P5" s="376"/>
      <c r="Q5" s="213"/>
      <c r="R5" s="381"/>
      <c r="S5" s="382"/>
      <c r="T5" s="385"/>
      <c r="U5" s="385"/>
      <c r="V5" s="385"/>
      <c r="W5" s="386"/>
      <c r="X5" s="214"/>
    </row>
    <row r="6" spans="2:24" ht="18.75" thickBot="1">
      <c r="B6" s="387"/>
      <c r="C6" s="388"/>
      <c r="D6" s="102"/>
      <c r="E6" s="389"/>
      <c r="F6" s="388"/>
      <c r="G6" s="389"/>
      <c r="H6" s="388"/>
      <c r="I6" s="390"/>
      <c r="J6" s="391"/>
      <c r="K6" s="213"/>
      <c r="L6" s="374"/>
      <c r="M6" s="375"/>
      <c r="N6" s="375"/>
      <c r="O6" s="375"/>
      <c r="P6" s="376"/>
      <c r="Q6" s="213"/>
      <c r="R6" s="392"/>
      <c r="S6" s="393"/>
      <c r="T6" s="328"/>
      <c r="U6" s="328"/>
      <c r="V6" s="394"/>
      <c r="W6" s="395"/>
      <c r="X6" s="214"/>
    </row>
    <row r="7" spans="2:24" ht="234.75" thickBot="1">
      <c r="B7" s="396" t="s">
        <v>732</v>
      </c>
      <c r="C7" s="397"/>
      <c r="D7" s="398"/>
      <c r="E7" s="399"/>
      <c r="F7" s="400"/>
      <c r="G7" s="396" t="s">
        <v>664</v>
      </c>
      <c r="H7" s="401"/>
      <c r="I7" s="402"/>
      <c r="J7" s="403"/>
      <c r="K7" s="209"/>
      <c r="L7" s="374"/>
      <c r="M7" s="375"/>
      <c r="N7" s="375"/>
      <c r="O7" s="375"/>
      <c r="P7" s="376"/>
      <c r="Q7" s="209"/>
      <c r="R7" s="404"/>
      <c r="S7" s="405"/>
      <c r="T7" s="329"/>
      <c r="U7" s="329"/>
      <c r="V7" s="406"/>
      <c r="W7" s="407"/>
      <c r="X7" s="210"/>
    </row>
    <row r="8" spans="2:24" ht="18.75" customHeight="1" thickBot="1">
      <c r="B8" s="408"/>
      <c r="C8" s="409"/>
      <c r="D8" s="409"/>
      <c r="E8" s="409"/>
      <c r="F8" s="410"/>
      <c r="G8" s="396" t="s">
        <v>661</v>
      </c>
      <c r="H8" s="401"/>
      <c r="I8" s="411"/>
      <c r="J8" s="412"/>
      <c r="K8" s="209"/>
      <c r="L8" s="374"/>
      <c r="M8" s="375"/>
      <c r="N8" s="375"/>
      <c r="O8" s="375"/>
      <c r="P8" s="376"/>
      <c r="Q8" s="209"/>
      <c r="R8" s="392"/>
      <c r="S8" s="393"/>
      <c r="T8" s="328"/>
      <c r="U8" s="328"/>
      <c r="V8" s="394"/>
      <c r="W8" s="395"/>
      <c r="X8" s="210"/>
    </row>
    <row r="9" spans="2:24" ht="72.75" thickBot="1">
      <c r="B9" s="413"/>
      <c r="C9" s="414"/>
      <c r="D9" s="414"/>
      <c r="E9" s="414"/>
      <c r="F9" s="415"/>
      <c r="G9" s="396" t="s">
        <v>662</v>
      </c>
      <c r="H9" s="401"/>
      <c r="I9" s="411"/>
      <c r="J9" s="412"/>
      <c r="K9" s="209"/>
      <c r="L9" s="374"/>
      <c r="M9" s="375"/>
      <c r="N9" s="375"/>
      <c r="O9" s="375"/>
      <c r="P9" s="376"/>
      <c r="Q9" s="209"/>
      <c r="R9" s="404"/>
      <c r="S9" s="405"/>
      <c r="T9" s="329"/>
      <c r="U9" s="329"/>
      <c r="V9" s="406"/>
      <c r="W9" s="407"/>
      <c r="X9" s="210"/>
    </row>
    <row r="10" spans="2:24" ht="72.75" thickBot="1">
      <c r="B10" s="413"/>
      <c r="C10" s="414"/>
      <c r="D10" s="414"/>
      <c r="E10" s="414"/>
      <c r="F10" s="415"/>
      <c r="G10" s="396" t="s">
        <v>665</v>
      </c>
      <c r="H10" s="401"/>
      <c r="I10" s="411"/>
      <c r="J10" s="412"/>
      <c r="K10" s="209"/>
      <c r="L10" s="416"/>
      <c r="M10" s="417"/>
      <c r="N10" s="417"/>
      <c r="O10" s="417"/>
      <c r="P10" s="418"/>
      <c r="Q10" s="209"/>
      <c r="R10" s="392"/>
      <c r="S10" s="393"/>
      <c r="T10" s="328"/>
      <c r="U10" s="328"/>
      <c r="V10" s="394"/>
      <c r="W10" s="395"/>
      <c r="X10" s="210"/>
    </row>
    <row r="11" spans="2:24" ht="108.75" thickBot="1">
      <c r="B11" s="413"/>
      <c r="C11" s="414"/>
      <c r="D11" s="414"/>
      <c r="E11" s="414"/>
      <c r="F11" s="415"/>
      <c r="G11" s="396" t="s">
        <v>76</v>
      </c>
      <c r="H11" s="401"/>
      <c r="I11" s="411"/>
      <c r="J11" s="412"/>
      <c r="K11" s="209"/>
      <c r="L11" s="217" t="s">
        <v>571</v>
      </c>
      <c r="M11" s="325" t="s">
        <v>727</v>
      </c>
      <c r="N11" s="326"/>
      <c r="O11" s="326"/>
      <c r="P11" s="327"/>
      <c r="Q11" s="209"/>
      <c r="R11" s="404"/>
      <c r="S11" s="405"/>
      <c r="T11" s="329"/>
      <c r="U11" s="329"/>
      <c r="V11" s="406"/>
      <c r="W11" s="407"/>
      <c r="X11" s="210"/>
    </row>
    <row r="12" spans="2:24" ht="126.75" thickBot="1">
      <c r="B12" s="413"/>
      <c r="C12" s="414"/>
      <c r="D12" s="414"/>
      <c r="E12" s="414"/>
      <c r="F12" s="415"/>
      <c r="G12" s="396" t="s">
        <v>663</v>
      </c>
      <c r="H12" s="401"/>
      <c r="I12" s="387"/>
      <c r="J12" s="419"/>
      <c r="K12" s="209"/>
      <c r="L12" s="217" t="s">
        <v>572</v>
      </c>
      <c r="M12" s="325" t="s">
        <v>727</v>
      </c>
      <c r="N12" s="326"/>
      <c r="O12" s="326"/>
      <c r="P12" s="327"/>
      <c r="Q12" s="209"/>
      <c r="R12" s="392"/>
      <c r="S12" s="393"/>
      <c r="T12" s="328"/>
      <c r="U12" s="328"/>
      <c r="V12" s="394"/>
      <c r="W12" s="395"/>
      <c r="X12" s="210"/>
    </row>
    <row r="13" spans="2:24" ht="72.75" thickBot="1">
      <c r="B13" s="413"/>
      <c r="C13" s="414"/>
      <c r="D13" s="414"/>
      <c r="E13" s="414"/>
      <c r="F13" s="415"/>
      <c r="G13" s="396" t="s">
        <v>423</v>
      </c>
      <c r="H13" s="401"/>
      <c r="I13" s="333" t="s">
        <v>255</v>
      </c>
      <c r="J13" s="334"/>
      <c r="K13" s="218"/>
      <c r="L13" s="217" t="s">
        <v>573</v>
      </c>
      <c r="M13" s="325" t="s">
        <v>727</v>
      </c>
      <c r="N13" s="326"/>
      <c r="O13" s="326"/>
      <c r="P13" s="327"/>
      <c r="Q13" s="209"/>
      <c r="R13" s="404"/>
      <c r="S13" s="405"/>
      <c r="T13" s="329"/>
      <c r="U13" s="329"/>
      <c r="V13" s="406"/>
      <c r="W13" s="407"/>
      <c r="X13" s="210"/>
    </row>
    <row r="14" spans="2:24" ht="42.75" thickBot="1">
      <c r="B14" s="420"/>
      <c r="C14" s="421"/>
      <c r="D14" s="421"/>
      <c r="E14" s="421"/>
      <c r="F14" s="422"/>
      <c r="G14" s="279" t="s">
        <v>549</v>
      </c>
      <c r="H14" s="279" t="s">
        <v>550</v>
      </c>
      <c r="I14" s="279" t="s">
        <v>551</v>
      </c>
      <c r="J14" s="280" t="s">
        <v>552</v>
      </c>
      <c r="K14" s="218"/>
      <c r="L14" s="217" t="s">
        <v>574</v>
      </c>
      <c r="M14" s="325" t="s">
        <v>727</v>
      </c>
      <c r="N14" s="326"/>
      <c r="O14" s="326"/>
      <c r="P14" s="327"/>
      <c r="Q14" s="209"/>
      <c r="R14" s="392"/>
      <c r="S14" s="393"/>
      <c r="T14" s="328"/>
      <c r="U14" s="328"/>
      <c r="V14" s="394"/>
      <c r="W14" s="395"/>
      <c r="X14" s="210"/>
    </row>
    <row r="15" spans="2:24" ht="90.75" thickBot="1">
      <c r="B15" s="396" t="s">
        <v>357</v>
      </c>
      <c r="C15" s="397"/>
      <c r="D15" s="398"/>
      <c r="E15" s="399"/>
      <c r="F15" s="400"/>
      <c r="G15" s="396" t="s">
        <v>494</v>
      </c>
      <c r="H15" s="401"/>
      <c r="I15" s="423"/>
      <c r="J15" s="424"/>
      <c r="K15" s="209"/>
      <c r="L15" s="217" t="s">
        <v>622</v>
      </c>
      <c r="M15" s="425" t="s">
        <v>727</v>
      </c>
      <c r="N15" s="426"/>
      <c r="O15" s="426"/>
      <c r="P15" s="427"/>
      <c r="Q15" s="209"/>
      <c r="R15" s="428"/>
      <c r="S15" s="429"/>
      <c r="T15" s="330"/>
      <c r="U15" s="330"/>
      <c r="V15" s="430"/>
      <c r="W15" s="431"/>
      <c r="X15" s="210"/>
    </row>
    <row r="16" spans="2:24" ht="18.75" thickBot="1">
      <c r="B16" s="219"/>
      <c r="C16" s="432"/>
      <c r="D16" s="432"/>
      <c r="E16" s="432"/>
      <c r="F16" s="432"/>
      <c r="G16" s="432"/>
      <c r="H16" s="432"/>
      <c r="I16" s="432"/>
      <c r="J16" s="432"/>
      <c r="K16" s="209"/>
      <c r="L16" s="219"/>
      <c r="M16" s="220"/>
      <c r="N16" s="433"/>
      <c r="O16" s="433"/>
      <c r="P16" s="433"/>
      <c r="Q16" s="209"/>
      <c r="R16" s="209"/>
      <c r="S16" s="219"/>
      <c r="T16" s="219"/>
      <c r="U16" s="219"/>
      <c r="V16" s="219"/>
      <c r="W16" s="219"/>
      <c r="X16" s="210"/>
    </row>
    <row r="17" spans="2:24" ht="409.6" thickBot="1">
      <c r="B17" s="257">
        <v>0</v>
      </c>
      <c r="C17" s="350" t="s">
        <v>360</v>
      </c>
      <c r="D17" s="359"/>
      <c r="E17" s="359"/>
      <c r="F17" s="359"/>
      <c r="G17" s="359"/>
      <c r="H17" s="359"/>
      <c r="I17" s="359"/>
      <c r="J17" s="360"/>
      <c r="K17" s="222"/>
      <c r="L17" s="257">
        <v>0</v>
      </c>
      <c r="M17" s="350" t="s">
        <v>392</v>
      </c>
      <c r="N17" s="361"/>
      <c r="O17" s="361"/>
      <c r="P17" s="352"/>
      <c r="Q17" s="209"/>
      <c r="R17" s="257">
        <v>0</v>
      </c>
      <c r="S17" s="361" t="s">
        <v>398</v>
      </c>
      <c r="T17" s="361"/>
      <c r="U17" s="361"/>
      <c r="V17" s="361"/>
      <c r="W17" s="352"/>
      <c r="X17" s="210"/>
    </row>
    <row r="18" spans="2:24" ht="18.75" thickBot="1">
      <c r="B18" s="434"/>
      <c r="C18" s="435"/>
      <c r="D18" s="435"/>
      <c r="E18" s="435"/>
      <c r="F18" s="435"/>
      <c r="G18" s="435"/>
      <c r="H18" s="435"/>
      <c r="I18" s="435"/>
      <c r="J18" s="436"/>
      <c r="K18" s="223"/>
      <c r="L18" s="437"/>
      <c r="M18" s="438"/>
      <c r="N18" s="438"/>
      <c r="O18" s="438"/>
      <c r="P18" s="439"/>
      <c r="Q18" s="209"/>
      <c r="R18" s="440"/>
      <c r="S18" s="441"/>
      <c r="T18" s="441"/>
      <c r="U18" s="441"/>
      <c r="V18" s="441"/>
      <c r="W18" s="442"/>
      <c r="X18" s="210"/>
    </row>
    <row r="19" spans="2:24" ht="20.25" thickBot="1">
      <c r="B19" s="443" t="s">
        <v>424</v>
      </c>
      <c r="C19" s="444"/>
      <c r="D19" s="444"/>
      <c r="E19" s="444"/>
      <c r="F19" s="444"/>
      <c r="G19" s="444"/>
      <c r="H19" s="444"/>
      <c r="I19" s="444"/>
      <c r="J19" s="445"/>
      <c r="K19" s="223"/>
      <c r="L19" s="446"/>
      <c r="M19" s="447"/>
      <c r="N19" s="447"/>
      <c r="O19" s="447"/>
      <c r="P19" s="448"/>
      <c r="Q19" s="209"/>
      <c r="R19" s="449"/>
      <c r="S19" s="450"/>
      <c r="T19" s="450"/>
      <c r="U19" s="450"/>
      <c r="V19" s="450"/>
      <c r="W19" s="451"/>
      <c r="X19" s="210"/>
    </row>
    <row r="20" spans="2:24" ht="18.75" thickBot="1">
      <c r="B20" s="452"/>
      <c r="C20" s="453"/>
      <c r="D20" s="453"/>
      <c r="E20" s="453"/>
      <c r="F20" s="453"/>
      <c r="G20" s="453"/>
      <c r="H20" s="453"/>
      <c r="I20" s="453"/>
      <c r="J20" s="454"/>
      <c r="K20" s="222"/>
      <c r="L20" s="446"/>
      <c r="M20" s="447"/>
      <c r="N20" s="447"/>
      <c r="O20" s="447"/>
      <c r="P20" s="448"/>
      <c r="Q20" s="209"/>
      <c r="R20" s="449"/>
      <c r="S20" s="450"/>
      <c r="T20" s="450"/>
      <c r="U20" s="450"/>
      <c r="V20" s="450"/>
      <c r="W20" s="451"/>
      <c r="X20" s="210"/>
    </row>
    <row r="21" spans="2:24" ht="12.75" customHeight="1" thickBot="1">
      <c r="B21" s="219"/>
      <c r="C21" s="224"/>
      <c r="D21" s="225"/>
      <c r="E21" s="225"/>
      <c r="F21" s="225"/>
      <c r="G21" s="225"/>
      <c r="H21" s="225"/>
      <c r="I21" s="225"/>
      <c r="J21" s="225"/>
      <c r="K21" s="209"/>
      <c r="L21" s="446"/>
      <c r="M21" s="447"/>
      <c r="N21" s="447"/>
      <c r="O21" s="447"/>
      <c r="P21" s="448"/>
      <c r="Q21" s="209"/>
      <c r="R21" s="449"/>
      <c r="S21" s="450"/>
      <c r="T21" s="450"/>
      <c r="U21" s="450"/>
      <c r="V21" s="450"/>
      <c r="W21" s="451"/>
      <c r="X21" s="210"/>
    </row>
    <row r="22" spans="2:24" ht="144.75" thickBot="1">
      <c r="B22" s="257">
        <v>0</v>
      </c>
      <c r="C22" s="350" t="s">
        <v>361</v>
      </c>
      <c r="D22" s="361"/>
      <c r="E22" s="361"/>
      <c r="F22" s="352"/>
      <c r="G22" s="278" t="s">
        <v>733</v>
      </c>
      <c r="H22" s="258" t="s">
        <v>729</v>
      </c>
      <c r="I22" s="455" t="s">
        <v>362</v>
      </c>
      <c r="J22" s="456"/>
      <c r="K22" s="226"/>
      <c r="L22" s="446"/>
      <c r="M22" s="447"/>
      <c r="N22" s="447"/>
      <c r="O22" s="447"/>
      <c r="P22" s="448"/>
      <c r="Q22" s="209"/>
      <c r="R22" s="449"/>
      <c r="S22" s="450"/>
      <c r="T22" s="450"/>
      <c r="U22" s="450"/>
      <c r="V22" s="450"/>
      <c r="W22" s="451"/>
      <c r="X22" s="210"/>
    </row>
    <row r="23" spans="2:24" ht="19.5" customHeight="1">
      <c r="B23" s="457" t="s">
        <v>363</v>
      </c>
      <c r="C23" s="458"/>
      <c r="D23" s="153" t="s">
        <v>364</v>
      </c>
      <c r="E23" s="227" t="s">
        <v>189</v>
      </c>
      <c r="F23" s="227" t="s">
        <v>427</v>
      </c>
      <c r="G23" s="335" t="s">
        <v>365</v>
      </c>
      <c r="H23" s="336"/>
      <c r="I23" s="336"/>
      <c r="J23" s="337"/>
      <c r="K23" s="209"/>
      <c r="L23" s="446"/>
      <c r="M23" s="447"/>
      <c r="N23" s="447"/>
      <c r="O23" s="447"/>
      <c r="P23" s="448"/>
      <c r="Q23" s="209"/>
      <c r="R23" s="449"/>
      <c r="S23" s="450"/>
      <c r="T23" s="450"/>
      <c r="U23" s="450"/>
      <c r="V23" s="450"/>
      <c r="W23" s="451"/>
      <c r="X23" s="210"/>
    </row>
    <row r="24" spans="2:24" ht="39.75" thickBot="1">
      <c r="B24" s="342"/>
      <c r="C24" s="343"/>
      <c r="D24" s="153" t="s">
        <v>426</v>
      </c>
      <c r="E24" s="228">
        <v>0</v>
      </c>
      <c r="F24" s="228">
        <v>0</v>
      </c>
      <c r="G24" s="459"/>
      <c r="H24" s="460"/>
      <c r="I24" s="460"/>
      <c r="J24" s="412"/>
      <c r="K24" s="209"/>
      <c r="L24" s="446"/>
      <c r="M24" s="447"/>
      <c r="N24" s="447"/>
      <c r="O24" s="447"/>
      <c r="P24" s="448"/>
      <c r="Q24" s="209"/>
      <c r="R24" s="461"/>
      <c r="S24" s="462"/>
      <c r="T24" s="462"/>
      <c r="U24" s="462"/>
      <c r="V24" s="462"/>
      <c r="W24" s="463"/>
      <c r="X24" s="210"/>
    </row>
    <row r="25" spans="2:24" ht="342.75" thickBot="1">
      <c r="B25" s="342"/>
      <c r="C25" s="343"/>
      <c r="D25" s="153" t="s">
        <v>616</v>
      </c>
      <c r="E25" s="228">
        <v>0</v>
      </c>
      <c r="F25" s="228">
        <v>0</v>
      </c>
      <c r="G25" s="459"/>
      <c r="H25" s="460"/>
      <c r="I25" s="460"/>
      <c r="J25" s="412"/>
      <c r="K25" s="209"/>
      <c r="L25" s="446"/>
      <c r="M25" s="447"/>
      <c r="N25" s="447"/>
      <c r="O25" s="447"/>
      <c r="P25" s="448"/>
      <c r="Q25" s="209"/>
      <c r="R25" s="229"/>
      <c r="S25" s="464" t="s">
        <v>55</v>
      </c>
      <c r="T25" s="464"/>
      <c r="U25" s="464"/>
      <c r="V25" s="464"/>
      <c r="W25" s="464"/>
      <c r="X25" s="210"/>
    </row>
    <row r="26" spans="2:24" ht="36.75" thickBot="1">
      <c r="B26" s="346"/>
      <c r="C26" s="347"/>
      <c r="D26" s="228" t="s">
        <v>359</v>
      </c>
      <c r="E26" s="228">
        <v>0</v>
      </c>
      <c r="F26" s="228">
        <v>0</v>
      </c>
      <c r="G26" s="389"/>
      <c r="H26" s="465"/>
      <c r="I26" s="465"/>
      <c r="J26" s="419"/>
      <c r="K26" s="209"/>
      <c r="L26" s="466"/>
      <c r="M26" s="467"/>
      <c r="N26" s="467"/>
      <c r="O26" s="467"/>
      <c r="P26" s="468"/>
      <c r="Q26" s="209"/>
      <c r="R26" s="257">
        <v>0</v>
      </c>
      <c r="S26" s="361" t="s">
        <v>399</v>
      </c>
      <c r="T26" s="361"/>
      <c r="U26" s="361"/>
      <c r="V26" s="361"/>
      <c r="W26" s="352"/>
      <c r="X26" s="210"/>
    </row>
    <row r="27" spans="2:24" ht="48" customHeight="1" thickBot="1">
      <c r="B27" s="338" t="s">
        <v>192</v>
      </c>
      <c r="C27" s="469"/>
      <c r="D27" s="335" t="s">
        <v>366</v>
      </c>
      <c r="E27" s="336"/>
      <c r="F27" s="339"/>
      <c r="G27" s="335" t="s">
        <v>367</v>
      </c>
      <c r="H27" s="339"/>
      <c r="I27" s="335" t="s">
        <v>428</v>
      </c>
      <c r="J27" s="337"/>
      <c r="K27" s="209"/>
      <c r="L27" s="217" t="s">
        <v>567</v>
      </c>
      <c r="M27" s="325" t="s">
        <v>727</v>
      </c>
      <c r="N27" s="326"/>
      <c r="O27" s="326"/>
      <c r="P27" s="327"/>
      <c r="Q27" s="209"/>
      <c r="R27" s="340" t="s">
        <v>291</v>
      </c>
      <c r="S27" s="341"/>
      <c r="T27" s="153" t="s">
        <v>366</v>
      </c>
      <c r="U27" s="153" t="s">
        <v>395</v>
      </c>
      <c r="V27" s="153" t="s">
        <v>396</v>
      </c>
      <c r="W27" s="154" t="s">
        <v>397</v>
      </c>
      <c r="X27" s="210"/>
    </row>
    <row r="28" spans="2:24" ht="48" customHeight="1" thickBot="1">
      <c r="B28" s="342" t="s">
        <v>429</v>
      </c>
      <c r="C28" s="343"/>
      <c r="D28" s="470"/>
      <c r="E28" s="471"/>
      <c r="F28" s="472"/>
      <c r="G28" s="473"/>
      <c r="H28" s="474"/>
      <c r="I28" s="473"/>
      <c r="J28" s="475"/>
      <c r="K28" s="209"/>
      <c r="L28" s="217" t="s">
        <v>568</v>
      </c>
      <c r="M28" s="325" t="s">
        <v>727</v>
      </c>
      <c r="N28" s="326"/>
      <c r="O28" s="326"/>
      <c r="P28" s="327"/>
      <c r="Q28" s="209"/>
      <c r="R28" s="344"/>
      <c r="S28" s="345"/>
      <c r="T28" s="103"/>
      <c r="U28" s="81"/>
      <c r="V28" s="82"/>
      <c r="W28" s="323"/>
      <c r="X28" s="210"/>
    </row>
    <row r="29" spans="2:24" ht="35.25" thickBot="1">
      <c r="B29" s="342"/>
      <c r="C29" s="343"/>
      <c r="D29" s="470"/>
      <c r="E29" s="471"/>
      <c r="F29" s="472"/>
      <c r="G29" s="473"/>
      <c r="H29" s="474"/>
      <c r="I29" s="473"/>
      <c r="J29" s="475"/>
      <c r="K29" s="209"/>
      <c r="L29" s="217" t="s">
        <v>569</v>
      </c>
      <c r="M29" s="325" t="s">
        <v>727</v>
      </c>
      <c r="N29" s="326"/>
      <c r="O29" s="326"/>
      <c r="P29" s="327"/>
      <c r="Q29" s="209"/>
      <c r="R29" s="344"/>
      <c r="S29" s="345"/>
      <c r="T29" s="103"/>
      <c r="U29" s="81"/>
      <c r="V29" s="82"/>
      <c r="W29" s="320"/>
      <c r="X29" s="210"/>
    </row>
    <row r="30" spans="2:24" ht="35.25" thickBot="1">
      <c r="B30" s="342"/>
      <c r="C30" s="343"/>
      <c r="D30" s="470"/>
      <c r="E30" s="471"/>
      <c r="F30" s="472"/>
      <c r="G30" s="473"/>
      <c r="H30" s="474"/>
      <c r="I30" s="473"/>
      <c r="J30" s="475"/>
      <c r="K30" s="209"/>
      <c r="L30" s="217" t="s">
        <v>570</v>
      </c>
      <c r="M30" s="325" t="s">
        <v>727</v>
      </c>
      <c r="N30" s="326"/>
      <c r="O30" s="326"/>
      <c r="P30" s="327"/>
      <c r="Q30" s="209"/>
      <c r="R30" s="344"/>
      <c r="S30" s="345"/>
      <c r="T30" s="103"/>
      <c r="U30" s="81"/>
      <c r="V30" s="82"/>
      <c r="W30" s="323"/>
      <c r="X30" s="210"/>
    </row>
    <row r="31" spans="2:24" ht="35.25" thickBot="1">
      <c r="B31" s="342"/>
      <c r="C31" s="343"/>
      <c r="D31" s="470"/>
      <c r="E31" s="471"/>
      <c r="F31" s="472"/>
      <c r="G31" s="473"/>
      <c r="H31" s="474"/>
      <c r="I31" s="473"/>
      <c r="J31" s="475"/>
      <c r="K31" s="209"/>
      <c r="L31" s="217" t="s">
        <v>619</v>
      </c>
      <c r="M31" s="325" t="s">
        <v>727</v>
      </c>
      <c r="N31" s="326"/>
      <c r="O31" s="326"/>
      <c r="P31" s="327"/>
      <c r="Q31" s="209"/>
      <c r="R31" s="344"/>
      <c r="S31" s="345"/>
      <c r="T31" s="103"/>
      <c r="U31" s="81"/>
      <c r="V31" s="82"/>
      <c r="W31" s="320"/>
      <c r="X31" s="210"/>
    </row>
    <row r="32" spans="2:24" ht="252.75" thickBot="1">
      <c r="B32" s="342"/>
      <c r="C32" s="343"/>
      <c r="D32" s="476"/>
      <c r="E32" s="477"/>
      <c r="F32" s="478"/>
      <c r="G32" s="479"/>
      <c r="H32" s="480"/>
      <c r="I32" s="479"/>
      <c r="J32" s="481"/>
      <c r="K32" s="209"/>
      <c r="L32" s="482" t="s">
        <v>455</v>
      </c>
      <c r="M32" s="483"/>
      <c r="N32" s="483"/>
      <c r="O32" s="483"/>
      <c r="P32" s="484"/>
      <c r="Q32" s="209"/>
      <c r="R32" s="344"/>
      <c r="S32" s="345"/>
      <c r="T32" s="236" t="s">
        <v>261</v>
      </c>
      <c r="U32" s="281" t="s">
        <v>316</v>
      </c>
      <c r="V32" s="282" t="s">
        <v>317</v>
      </c>
      <c r="W32" s="282" t="s">
        <v>318</v>
      </c>
      <c r="X32" s="210"/>
    </row>
    <row r="33" spans="2:24" ht="18.75" thickBot="1">
      <c r="B33" s="346"/>
      <c r="C33" s="347"/>
      <c r="D33" s="485"/>
      <c r="E33" s="486"/>
      <c r="F33" s="487"/>
      <c r="G33" s="488"/>
      <c r="H33" s="489"/>
      <c r="I33" s="488"/>
      <c r="J33" s="490"/>
      <c r="K33" s="209"/>
      <c r="L33" s="491"/>
      <c r="M33" s="492"/>
      <c r="N33" s="492"/>
      <c r="O33" s="492"/>
      <c r="P33" s="493"/>
      <c r="Q33" s="209"/>
      <c r="R33" s="348"/>
      <c r="S33" s="349"/>
      <c r="T33" s="237">
        <v>0</v>
      </c>
      <c r="U33" s="324"/>
      <c r="V33" s="324"/>
      <c r="W33" s="324"/>
      <c r="X33" s="210"/>
    </row>
    <row r="34" spans="2:24" ht="12.75" thickBot="1">
      <c r="B34" s="219"/>
      <c r="C34" s="219"/>
      <c r="D34" s="219"/>
      <c r="E34" s="219"/>
      <c r="F34" s="219"/>
      <c r="G34" s="219"/>
      <c r="H34" s="219"/>
      <c r="I34" s="219"/>
      <c r="J34" s="219"/>
      <c r="K34" s="219"/>
      <c r="L34" s="219"/>
      <c r="M34" s="219"/>
      <c r="N34" s="219"/>
      <c r="O34" s="219"/>
      <c r="P34" s="219"/>
      <c r="Q34" s="209"/>
      <c r="R34" s="209"/>
      <c r="S34" s="219"/>
      <c r="T34" s="219"/>
      <c r="U34" s="219"/>
      <c r="V34" s="219"/>
      <c r="W34" s="219"/>
      <c r="X34" s="210"/>
    </row>
    <row r="35" spans="2:24" ht="189.75" thickBot="1">
      <c r="B35" s="494" t="s">
        <v>475</v>
      </c>
      <c r="C35" s="495"/>
      <c r="D35" s="496"/>
      <c r="E35" s="399"/>
      <c r="F35" s="497"/>
      <c r="G35" s="498" t="s">
        <v>368</v>
      </c>
      <c r="H35" s="499"/>
      <c r="I35" s="500"/>
      <c r="J35" s="501"/>
      <c r="K35" s="239"/>
      <c r="L35" s="494" t="s">
        <v>369</v>
      </c>
      <c r="M35" s="495"/>
      <c r="N35" s="321">
        <v>0</v>
      </c>
      <c r="O35" s="240" t="s">
        <v>430</v>
      </c>
      <c r="P35" s="322"/>
      <c r="Q35" s="241"/>
      <c r="R35" s="353" t="s">
        <v>325</v>
      </c>
      <c r="S35" s="354"/>
      <c r="T35" s="355"/>
      <c r="U35" s="356">
        <v>10</v>
      </c>
      <c r="V35" s="357"/>
      <c r="W35" s="358"/>
      <c r="X35" s="242"/>
    </row>
    <row r="36" spans="2:24" ht="12.75" thickBot="1">
      <c r="B36" s="245"/>
      <c r="C36" s="245"/>
      <c r="D36" s="245"/>
      <c r="E36" s="245"/>
      <c r="F36" s="245"/>
      <c r="G36" s="245"/>
      <c r="H36" s="245"/>
      <c r="I36" s="245"/>
      <c r="J36" s="245"/>
      <c r="K36" s="245"/>
      <c r="L36" s="245"/>
      <c r="M36" s="245"/>
      <c r="N36" s="245"/>
      <c r="O36" s="245"/>
      <c r="P36" s="245"/>
      <c r="Q36" s="246"/>
      <c r="R36" s="246"/>
      <c r="S36" s="245"/>
      <c r="T36" s="245"/>
      <c r="U36" s="245"/>
      <c r="V36" s="245"/>
      <c r="W36" s="245"/>
      <c r="X36" s="247"/>
    </row>
    <row r="37" spans="2:24" ht="12.75" thickBot="1"/>
    <row r="38" spans="2:24" ht="32.25" customHeight="1">
      <c r="B38" s="502">
        <v>0</v>
      </c>
      <c r="C38" s="503" t="s">
        <v>78</v>
      </c>
      <c r="D38" s="503"/>
      <c r="E38" s="503"/>
      <c r="F38" s="503"/>
      <c r="G38" s="503"/>
      <c r="H38" s="503"/>
      <c r="I38" s="503"/>
      <c r="J38" s="503"/>
      <c r="K38" s="503"/>
      <c r="L38" s="503">
        <v>0</v>
      </c>
      <c r="M38" s="503" t="s">
        <v>89</v>
      </c>
      <c r="N38" s="503"/>
      <c r="O38" s="503"/>
      <c r="P38" s="503"/>
      <c r="Q38" s="503"/>
      <c r="R38" s="503">
        <v>0</v>
      </c>
      <c r="S38" s="503" t="s">
        <v>302</v>
      </c>
      <c r="T38" s="503"/>
      <c r="U38" s="503"/>
      <c r="V38" s="503"/>
      <c r="W38" s="504"/>
    </row>
    <row r="39" spans="2:24" ht="26.25" customHeight="1">
      <c r="B39" s="505" t="s">
        <v>894</v>
      </c>
      <c r="C39" s="506"/>
      <c r="D39" s="506"/>
      <c r="E39" s="506"/>
      <c r="F39" s="506"/>
      <c r="G39" s="506"/>
      <c r="H39" s="506"/>
      <c r="I39" s="506"/>
      <c r="J39" s="506"/>
      <c r="K39" s="506"/>
      <c r="L39" s="506"/>
      <c r="M39" s="506"/>
      <c r="N39" s="506"/>
      <c r="O39" s="506"/>
      <c r="P39" s="506"/>
      <c r="Q39" s="506"/>
      <c r="R39" s="506" t="s">
        <v>611</v>
      </c>
      <c r="S39" s="506"/>
      <c r="T39" s="506" t="s">
        <v>80</v>
      </c>
      <c r="U39" s="506" t="s">
        <v>595</v>
      </c>
      <c r="V39" s="506" t="s">
        <v>323</v>
      </c>
      <c r="W39" s="507" t="s">
        <v>596</v>
      </c>
    </row>
    <row r="40" spans="2:24" ht="12" customHeight="1">
      <c r="B40" s="505" t="s">
        <v>449</v>
      </c>
      <c r="C40" s="506"/>
      <c r="D40" s="506" t="s">
        <v>262</v>
      </c>
      <c r="E40" s="506" t="s">
        <v>605</v>
      </c>
      <c r="F40" s="506"/>
      <c r="G40" s="506" t="s">
        <v>538</v>
      </c>
      <c r="H40" s="506"/>
      <c r="I40" s="506" t="s">
        <v>624</v>
      </c>
      <c r="J40" s="506"/>
      <c r="K40" s="506"/>
      <c r="L40" s="506"/>
      <c r="M40" s="506"/>
      <c r="N40" s="506"/>
      <c r="O40" s="506"/>
      <c r="P40" s="506"/>
      <c r="Q40" s="506"/>
      <c r="R40" s="506"/>
      <c r="S40" s="506"/>
      <c r="T40" s="506"/>
      <c r="U40" s="506"/>
      <c r="V40" s="506"/>
      <c r="W40" s="507"/>
    </row>
    <row r="41" spans="2:24" ht="12" customHeight="1">
      <c r="B41" s="505"/>
      <c r="C41" s="506"/>
      <c r="D41" s="506"/>
      <c r="E41" s="506"/>
      <c r="F41" s="506"/>
      <c r="G41" s="506"/>
      <c r="H41" s="506"/>
      <c r="I41" s="506"/>
      <c r="J41" s="506"/>
      <c r="K41" s="506"/>
      <c r="L41" s="506"/>
      <c r="M41" s="506"/>
      <c r="N41" s="506"/>
      <c r="O41" s="506"/>
      <c r="P41" s="506"/>
      <c r="Q41" s="506"/>
      <c r="R41" s="506"/>
      <c r="S41" s="506"/>
      <c r="T41" s="506"/>
      <c r="U41" s="506"/>
      <c r="V41" s="506"/>
      <c r="W41" s="507"/>
    </row>
    <row r="42" spans="2:24">
      <c r="B42" s="505"/>
      <c r="C42" s="506"/>
      <c r="D42" s="506"/>
      <c r="E42" s="506"/>
      <c r="F42" s="506"/>
      <c r="G42" s="506"/>
      <c r="H42" s="506"/>
      <c r="I42" s="506"/>
      <c r="J42" s="506"/>
      <c r="K42" s="506"/>
      <c r="L42" s="506"/>
      <c r="M42" s="506"/>
      <c r="N42" s="506"/>
      <c r="O42" s="506"/>
      <c r="P42" s="506"/>
      <c r="Q42" s="506"/>
      <c r="R42" s="506"/>
      <c r="S42" s="506"/>
      <c r="T42" s="506"/>
      <c r="U42" s="506"/>
      <c r="V42" s="506"/>
      <c r="W42" s="507"/>
    </row>
    <row r="43" spans="2:24" ht="19.5" customHeight="1">
      <c r="B43" s="511" t="s">
        <v>85</v>
      </c>
      <c r="C43" s="506"/>
      <c r="D43" s="506"/>
      <c r="E43" s="506"/>
      <c r="F43" s="506"/>
      <c r="G43" s="506" t="s">
        <v>726</v>
      </c>
      <c r="H43" s="506"/>
      <c r="I43" s="506"/>
      <c r="J43" s="506"/>
      <c r="K43" s="506"/>
      <c r="L43" s="506"/>
      <c r="M43" s="506"/>
      <c r="N43" s="506"/>
      <c r="O43" s="506"/>
      <c r="P43" s="506"/>
      <c r="Q43" s="506"/>
      <c r="R43" s="506"/>
      <c r="S43" s="506"/>
      <c r="T43" s="506"/>
      <c r="U43" s="506"/>
      <c r="V43" s="506"/>
      <c r="W43" s="507"/>
    </row>
    <row r="44" spans="2:24" ht="19.5" customHeight="1">
      <c r="B44" s="505"/>
      <c r="C44" s="506"/>
      <c r="D44" s="506"/>
      <c r="E44" s="506"/>
      <c r="F44" s="506"/>
      <c r="G44" s="506" t="s">
        <v>81</v>
      </c>
      <c r="H44" s="506"/>
      <c r="I44" s="506"/>
      <c r="J44" s="506"/>
      <c r="K44" s="506"/>
      <c r="L44" s="506"/>
      <c r="M44" s="506"/>
      <c r="N44" s="506"/>
      <c r="O44" s="506"/>
      <c r="P44" s="506"/>
      <c r="Q44" s="506"/>
      <c r="R44" s="506"/>
      <c r="S44" s="506"/>
      <c r="T44" s="506"/>
      <c r="U44" s="506"/>
      <c r="V44" s="506"/>
      <c r="W44" s="507"/>
    </row>
    <row r="45" spans="2:24" ht="19.5" customHeight="1">
      <c r="B45" s="505"/>
      <c r="C45" s="506"/>
      <c r="D45" s="506"/>
      <c r="E45" s="506"/>
      <c r="F45" s="506"/>
      <c r="G45" s="506" t="s">
        <v>82</v>
      </c>
      <c r="H45" s="506"/>
      <c r="I45" s="506"/>
      <c r="J45" s="506"/>
      <c r="K45" s="506"/>
      <c r="L45" s="506"/>
      <c r="M45" s="506"/>
      <c r="N45" s="506"/>
      <c r="O45" s="506"/>
      <c r="P45" s="506"/>
      <c r="Q45" s="506"/>
      <c r="R45" s="506"/>
      <c r="S45" s="506"/>
      <c r="T45" s="506"/>
      <c r="U45" s="506"/>
      <c r="V45" s="506"/>
      <c r="W45" s="507"/>
    </row>
    <row r="46" spans="2:24" ht="19.5" customHeight="1">
      <c r="B46" s="505"/>
      <c r="C46" s="506"/>
      <c r="D46" s="506"/>
      <c r="E46" s="506"/>
      <c r="F46" s="506"/>
      <c r="G46" s="515" t="s">
        <v>73</v>
      </c>
      <c r="H46" s="506"/>
      <c r="I46" s="506"/>
      <c r="J46" s="506"/>
      <c r="K46" s="506"/>
      <c r="L46" s="506"/>
      <c r="M46" s="506"/>
      <c r="N46" s="506"/>
      <c r="O46" s="506"/>
      <c r="P46" s="506"/>
      <c r="Q46" s="506"/>
      <c r="R46" s="506"/>
      <c r="S46" s="506"/>
      <c r="T46" s="506"/>
      <c r="U46" s="506"/>
      <c r="V46" s="506"/>
      <c r="W46" s="507"/>
    </row>
    <row r="47" spans="2:24" ht="24" customHeight="1">
      <c r="B47" s="505"/>
      <c r="C47" s="506"/>
      <c r="D47" s="506"/>
      <c r="E47" s="506"/>
      <c r="F47" s="506"/>
      <c r="G47" s="506" t="s">
        <v>83</v>
      </c>
      <c r="H47" s="506"/>
      <c r="I47" s="506"/>
      <c r="J47" s="506"/>
      <c r="K47" s="506"/>
      <c r="L47" s="506" t="s">
        <v>571</v>
      </c>
      <c r="M47" s="506" t="s">
        <v>727</v>
      </c>
      <c r="N47" s="506"/>
      <c r="O47" s="506"/>
      <c r="P47" s="506"/>
      <c r="Q47" s="506"/>
      <c r="R47" s="506"/>
      <c r="S47" s="506"/>
      <c r="T47" s="506"/>
      <c r="U47" s="506"/>
      <c r="V47" s="506"/>
      <c r="W47" s="507"/>
    </row>
    <row r="48" spans="2:24" ht="24" customHeight="1">
      <c r="B48" s="505"/>
      <c r="C48" s="506"/>
      <c r="D48" s="506"/>
      <c r="E48" s="506"/>
      <c r="F48" s="506"/>
      <c r="G48" s="506" t="s">
        <v>84</v>
      </c>
      <c r="H48" s="506"/>
      <c r="I48" s="506"/>
      <c r="J48" s="506"/>
      <c r="K48" s="506"/>
      <c r="L48" s="506" t="s">
        <v>572</v>
      </c>
      <c r="M48" s="506" t="s">
        <v>727</v>
      </c>
      <c r="N48" s="506"/>
      <c r="O48" s="506"/>
      <c r="P48" s="506"/>
      <c r="Q48" s="506"/>
      <c r="R48" s="506"/>
      <c r="S48" s="506"/>
      <c r="T48" s="506"/>
      <c r="U48" s="506"/>
      <c r="V48" s="506"/>
      <c r="W48" s="507"/>
    </row>
    <row r="49" spans="2:23" ht="24" customHeight="1">
      <c r="B49" s="505"/>
      <c r="C49" s="506"/>
      <c r="D49" s="506"/>
      <c r="E49" s="506"/>
      <c r="F49" s="506"/>
      <c r="G49" s="506" t="s">
        <v>39</v>
      </c>
      <c r="H49" s="506"/>
      <c r="I49" s="506" t="s">
        <v>255</v>
      </c>
      <c r="J49" s="506"/>
      <c r="K49" s="506"/>
      <c r="L49" s="506" t="s">
        <v>573</v>
      </c>
      <c r="M49" s="506" t="s">
        <v>727</v>
      </c>
      <c r="N49" s="506"/>
      <c r="O49" s="506"/>
      <c r="P49" s="506"/>
      <c r="Q49" s="506"/>
      <c r="R49" s="506"/>
      <c r="S49" s="506"/>
      <c r="T49" s="506"/>
      <c r="U49" s="506"/>
      <c r="V49" s="506"/>
      <c r="W49" s="507"/>
    </row>
    <row r="50" spans="2:23">
      <c r="B50" s="505"/>
      <c r="C50" s="506"/>
      <c r="D50" s="506"/>
      <c r="E50" s="506"/>
      <c r="F50" s="506"/>
      <c r="G50" s="506" t="s">
        <v>549</v>
      </c>
      <c r="H50" s="506" t="s">
        <v>575</v>
      </c>
      <c r="I50" s="506" t="s">
        <v>555</v>
      </c>
      <c r="J50" s="506" t="s">
        <v>556</v>
      </c>
      <c r="K50" s="506"/>
      <c r="L50" s="506" t="s">
        <v>574</v>
      </c>
      <c r="M50" s="506" t="s">
        <v>727</v>
      </c>
      <c r="N50" s="506"/>
      <c r="O50" s="506"/>
      <c r="P50" s="506"/>
      <c r="Q50" s="506"/>
      <c r="R50" s="506"/>
      <c r="S50" s="506"/>
      <c r="T50" s="506"/>
      <c r="U50" s="506"/>
      <c r="V50" s="506"/>
      <c r="W50" s="507"/>
    </row>
    <row r="51" spans="2:23" ht="24" customHeight="1">
      <c r="B51" s="505" t="s">
        <v>86</v>
      </c>
      <c r="C51" s="506"/>
      <c r="D51" s="506"/>
      <c r="E51" s="506"/>
      <c r="F51" s="506"/>
      <c r="G51" s="506" t="s">
        <v>495</v>
      </c>
      <c r="H51" s="506"/>
      <c r="I51" s="506"/>
      <c r="J51" s="506"/>
      <c r="K51" s="506"/>
      <c r="L51" s="506" t="s">
        <v>622</v>
      </c>
      <c r="M51" s="506" t="s">
        <v>727</v>
      </c>
      <c r="N51" s="506"/>
      <c r="O51" s="506"/>
      <c r="P51" s="506"/>
      <c r="Q51" s="506"/>
      <c r="R51" s="506"/>
      <c r="S51" s="506"/>
      <c r="T51" s="506"/>
      <c r="U51" s="506"/>
      <c r="V51" s="506"/>
      <c r="W51" s="507"/>
    </row>
    <row r="52" spans="2:23">
      <c r="B52" s="505"/>
      <c r="C52" s="506"/>
      <c r="D52" s="506"/>
      <c r="E52" s="506"/>
      <c r="F52" s="506"/>
      <c r="G52" s="506"/>
      <c r="H52" s="506"/>
      <c r="I52" s="506"/>
      <c r="J52" s="506"/>
      <c r="K52" s="506"/>
      <c r="L52" s="506"/>
      <c r="M52" s="506"/>
      <c r="N52" s="506"/>
      <c r="O52" s="506"/>
      <c r="P52" s="506"/>
      <c r="Q52" s="506"/>
      <c r="R52" s="506"/>
      <c r="S52" s="506"/>
      <c r="T52" s="506"/>
      <c r="U52" s="506"/>
      <c r="V52" s="506"/>
      <c r="W52" s="507"/>
    </row>
    <row r="53" spans="2:23" ht="32.25" customHeight="1">
      <c r="B53" s="505">
        <v>0</v>
      </c>
      <c r="C53" s="506" t="s">
        <v>606</v>
      </c>
      <c r="D53" s="506"/>
      <c r="E53" s="506"/>
      <c r="F53" s="506"/>
      <c r="G53" s="506"/>
      <c r="H53" s="506"/>
      <c r="I53" s="506"/>
      <c r="J53" s="506"/>
      <c r="K53" s="506"/>
      <c r="L53" s="506">
        <v>0</v>
      </c>
      <c r="M53" s="506" t="s">
        <v>613</v>
      </c>
      <c r="N53" s="506"/>
      <c r="O53" s="506"/>
      <c r="P53" s="506"/>
      <c r="Q53" s="506"/>
      <c r="R53" s="506">
        <v>0</v>
      </c>
      <c r="S53" s="506" t="s">
        <v>324</v>
      </c>
      <c r="T53" s="506"/>
      <c r="U53" s="506"/>
      <c r="V53" s="506"/>
      <c r="W53" s="507"/>
    </row>
    <row r="54" spans="2:23">
      <c r="B54" s="505"/>
      <c r="C54" s="506"/>
      <c r="D54" s="506"/>
      <c r="E54" s="506"/>
      <c r="F54" s="506"/>
      <c r="G54" s="506"/>
      <c r="H54" s="506"/>
      <c r="I54" s="506"/>
      <c r="J54" s="506"/>
      <c r="K54" s="506"/>
      <c r="L54" s="506"/>
      <c r="M54" s="506"/>
      <c r="N54" s="506"/>
      <c r="O54" s="506"/>
      <c r="P54" s="506"/>
      <c r="Q54" s="506"/>
      <c r="R54" s="506"/>
      <c r="S54" s="506"/>
      <c r="T54" s="506"/>
      <c r="U54" s="506"/>
      <c r="V54" s="506"/>
      <c r="W54" s="507"/>
    </row>
    <row r="55" spans="2:23">
      <c r="B55" s="505" t="s">
        <v>244</v>
      </c>
      <c r="C55" s="506"/>
      <c r="D55" s="506"/>
      <c r="E55" s="506"/>
      <c r="F55" s="506"/>
      <c r="G55" s="506"/>
      <c r="H55" s="506"/>
      <c r="I55" s="506"/>
      <c r="J55" s="506"/>
      <c r="K55" s="506"/>
      <c r="L55" s="506"/>
      <c r="M55" s="506"/>
      <c r="N55" s="506"/>
      <c r="O55" s="506"/>
      <c r="P55" s="506"/>
      <c r="Q55" s="506"/>
      <c r="R55" s="506"/>
      <c r="S55" s="506"/>
      <c r="T55" s="506"/>
      <c r="U55" s="506"/>
      <c r="V55" s="506"/>
      <c r="W55" s="507"/>
    </row>
    <row r="56" spans="2:23" ht="18.75" customHeight="1">
      <c r="B56" s="505"/>
      <c r="C56" s="506"/>
      <c r="D56" s="506"/>
      <c r="E56" s="506"/>
      <c r="F56" s="506"/>
      <c r="G56" s="506"/>
      <c r="H56" s="506"/>
      <c r="I56" s="506"/>
      <c r="J56" s="506"/>
      <c r="K56" s="506"/>
      <c r="L56" s="506"/>
      <c r="M56" s="506"/>
      <c r="N56" s="506"/>
      <c r="O56" s="506"/>
      <c r="P56" s="506"/>
      <c r="Q56" s="506"/>
      <c r="R56" s="506"/>
      <c r="S56" s="506"/>
      <c r="T56" s="506"/>
      <c r="U56" s="506"/>
      <c r="V56" s="506"/>
      <c r="W56" s="507"/>
    </row>
    <row r="57" spans="2:23" ht="12.75" customHeight="1">
      <c r="B57" s="505"/>
      <c r="C57" s="506"/>
      <c r="D57" s="506"/>
      <c r="E57" s="506"/>
      <c r="F57" s="506"/>
      <c r="G57" s="506"/>
      <c r="H57" s="506"/>
      <c r="I57" s="506"/>
      <c r="J57" s="506"/>
      <c r="K57" s="506"/>
      <c r="L57" s="506"/>
      <c r="M57" s="506"/>
      <c r="N57" s="506"/>
      <c r="O57" s="506"/>
      <c r="P57" s="506"/>
      <c r="Q57" s="506"/>
      <c r="R57" s="506"/>
      <c r="S57" s="506"/>
      <c r="T57" s="506"/>
      <c r="U57" s="506"/>
      <c r="V57" s="506"/>
      <c r="W57" s="507"/>
    </row>
    <row r="58" spans="2:23" ht="169.5" customHeight="1">
      <c r="B58" s="505">
        <v>0</v>
      </c>
      <c r="C58" s="506" t="s">
        <v>607</v>
      </c>
      <c r="D58" s="506"/>
      <c r="E58" s="506"/>
      <c r="F58" s="506"/>
      <c r="G58" s="506" t="s">
        <v>728</v>
      </c>
      <c r="H58" s="506" t="s">
        <v>729</v>
      </c>
      <c r="I58" s="506" t="s">
        <v>257</v>
      </c>
      <c r="J58" s="506"/>
      <c r="K58" s="506"/>
      <c r="L58" s="506"/>
      <c r="M58" s="506"/>
      <c r="N58" s="506"/>
      <c r="O58" s="506"/>
      <c r="P58" s="506"/>
      <c r="Q58" s="506"/>
      <c r="R58" s="506"/>
      <c r="S58" s="506"/>
      <c r="T58" s="506"/>
      <c r="U58" s="506"/>
      <c r="V58" s="506"/>
      <c r="W58" s="507"/>
    </row>
    <row r="59" spans="2:23" ht="19.5" customHeight="1">
      <c r="B59" s="505" t="s">
        <v>297</v>
      </c>
      <c r="C59" s="506"/>
      <c r="D59" s="506" t="s">
        <v>608</v>
      </c>
      <c r="E59" s="506" t="s">
        <v>189</v>
      </c>
      <c r="F59" s="506" t="s">
        <v>190</v>
      </c>
      <c r="G59" s="506" t="s">
        <v>614</v>
      </c>
      <c r="H59" s="506"/>
      <c r="I59" s="506"/>
      <c r="J59" s="506"/>
      <c r="K59" s="506"/>
      <c r="L59" s="506"/>
      <c r="M59" s="506"/>
      <c r="N59" s="506"/>
      <c r="O59" s="506"/>
      <c r="P59" s="506"/>
      <c r="Q59" s="506"/>
      <c r="R59" s="506"/>
      <c r="S59" s="506"/>
      <c r="T59" s="506"/>
      <c r="U59" s="506"/>
      <c r="V59" s="506"/>
      <c r="W59" s="507"/>
    </row>
    <row r="60" spans="2:23">
      <c r="B60" s="505"/>
      <c r="C60" s="506"/>
      <c r="D60" s="506" t="s">
        <v>259</v>
      </c>
      <c r="E60" s="506">
        <v>0</v>
      </c>
      <c r="F60" s="506">
        <v>0</v>
      </c>
      <c r="G60" s="506"/>
      <c r="H60" s="506"/>
      <c r="I60" s="506"/>
      <c r="J60" s="506"/>
      <c r="K60" s="506"/>
      <c r="L60" s="506"/>
      <c r="M60" s="506"/>
      <c r="N60" s="506"/>
      <c r="O60" s="506"/>
      <c r="P60" s="506"/>
      <c r="Q60" s="506"/>
      <c r="R60" s="506"/>
      <c r="S60" s="506"/>
      <c r="T60" s="506"/>
      <c r="U60" s="506"/>
      <c r="V60" s="506"/>
      <c r="W60" s="507"/>
    </row>
    <row r="61" spans="2:23" ht="39.75" customHeight="1">
      <c r="B61" s="505"/>
      <c r="C61" s="506"/>
      <c r="D61" s="506" t="s">
        <v>616</v>
      </c>
      <c r="E61" s="506">
        <v>0</v>
      </c>
      <c r="F61" s="506">
        <v>0</v>
      </c>
      <c r="G61" s="506"/>
      <c r="H61" s="506"/>
      <c r="I61" s="506"/>
      <c r="J61" s="506"/>
      <c r="K61" s="506"/>
      <c r="L61" s="506"/>
      <c r="M61" s="506"/>
      <c r="N61" s="506"/>
      <c r="O61" s="506"/>
      <c r="P61" s="506"/>
      <c r="Q61" s="506"/>
      <c r="R61" s="506"/>
      <c r="S61" s="506" t="s">
        <v>43</v>
      </c>
      <c r="T61" s="506"/>
      <c r="U61" s="506"/>
      <c r="V61" s="506"/>
      <c r="W61" s="507"/>
    </row>
    <row r="62" spans="2:23">
      <c r="B62" s="505"/>
      <c r="C62" s="506"/>
      <c r="D62" s="506" t="s">
        <v>623</v>
      </c>
      <c r="E62" s="506">
        <v>0</v>
      </c>
      <c r="F62" s="506">
        <v>0</v>
      </c>
      <c r="G62" s="506"/>
      <c r="H62" s="506"/>
      <c r="I62" s="506"/>
      <c r="J62" s="506"/>
      <c r="K62" s="506"/>
      <c r="L62" s="506"/>
      <c r="M62" s="506"/>
      <c r="N62" s="506"/>
      <c r="O62" s="506"/>
      <c r="P62" s="506"/>
      <c r="Q62" s="506"/>
      <c r="R62" s="506" t="s">
        <v>88</v>
      </c>
      <c r="S62" s="506"/>
      <c r="T62" s="506"/>
      <c r="U62" s="506"/>
      <c r="V62" s="506"/>
      <c r="W62" s="507"/>
    </row>
    <row r="63" spans="2:23" ht="24" customHeight="1">
      <c r="B63" s="505" t="s">
        <v>192</v>
      </c>
      <c r="C63" s="506"/>
      <c r="D63" s="506" t="s">
        <v>609</v>
      </c>
      <c r="E63" s="506"/>
      <c r="F63" s="506"/>
      <c r="G63" s="506" t="s">
        <v>730</v>
      </c>
      <c r="H63" s="506"/>
      <c r="I63" s="506" t="s">
        <v>87</v>
      </c>
      <c r="J63" s="506"/>
      <c r="K63" s="506"/>
      <c r="L63" s="506" t="s">
        <v>567</v>
      </c>
      <c r="M63" s="506" t="s">
        <v>727</v>
      </c>
      <c r="N63" s="506"/>
      <c r="O63" s="506"/>
      <c r="P63" s="506"/>
      <c r="Q63" s="506"/>
      <c r="R63" s="506" t="s">
        <v>88</v>
      </c>
      <c r="S63" s="506"/>
      <c r="T63" s="506" t="s">
        <v>612</v>
      </c>
      <c r="U63" s="532" t="s">
        <v>523</v>
      </c>
      <c r="V63" s="532" t="s">
        <v>323</v>
      </c>
      <c r="W63" s="507" t="s">
        <v>596</v>
      </c>
    </row>
    <row r="64" spans="2:23" ht="36.75" customHeight="1">
      <c r="B64" s="505" t="s">
        <v>191</v>
      </c>
      <c r="C64" s="506"/>
      <c r="D64" s="506"/>
      <c r="E64" s="506"/>
      <c r="F64" s="506"/>
      <c r="G64" s="506"/>
      <c r="H64" s="506"/>
      <c r="I64" s="506"/>
      <c r="J64" s="506"/>
      <c r="K64" s="506"/>
      <c r="L64" s="506" t="s">
        <v>568</v>
      </c>
      <c r="M64" s="506" t="s">
        <v>727</v>
      </c>
      <c r="N64" s="506"/>
      <c r="O64" s="506"/>
      <c r="P64" s="506"/>
      <c r="Q64" s="506"/>
      <c r="R64" s="506" t="s">
        <v>88</v>
      </c>
      <c r="S64" s="506"/>
      <c r="T64" s="506" t="s">
        <v>889</v>
      </c>
      <c r="U64" s="506"/>
      <c r="V64" s="506"/>
      <c r="W64" s="507"/>
    </row>
    <row r="65" spans="2:23">
      <c r="B65" s="505"/>
      <c r="C65" s="506"/>
      <c r="D65" s="506"/>
      <c r="E65" s="506"/>
      <c r="F65" s="506"/>
      <c r="G65" s="506"/>
      <c r="H65" s="506"/>
      <c r="I65" s="506"/>
      <c r="J65" s="506"/>
      <c r="K65" s="506"/>
      <c r="L65" s="506" t="s">
        <v>569</v>
      </c>
      <c r="M65" s="506" t="s">
        <v>727</v>
      </c>
      <c r="N65" s="506"/>
      <c r="O65" s="506"/>
      <c r="P65" s="506"/>
      <c r="Q65" s="506"/>
      <c r="R65" s="506" t="s">
        <v>88</v>
      </c>
      <c r="S65" s="506"/>
      <c r="T65" s="506" t="s">
        <v>890</v>
      </c>
      <c r="U65" s="506"/>
      <c r="V65" s="506"/>
      <c r="W65" s="507"/>
    </row>
    <row r="66" spans="2:23">
      <c r="B66" s="505"/>
      <c r="C66" s="506"/>
      <c r="D66" s="506"/>
      <c r="E66" s="506"/>
      <c r="F66" s="506"/>
      <c r="G66" s="506"/>
      <c r="H66" s="506"/>
      <c r="I66" s="506"/>
      <c r="J66" s="506"/>
      <c r="K66" s="506"/>
      <c r="L66" s="506" t="s">
        <v>570</v>
      </c>
      <c r="M66" s="506" t="s">
        <v>727</v>
      </c>
      <c r="N66" s="506"/>
      <c r="O66" s="506"/>
      <c r="P66" s="506"/>
      <c r="Q66" s="506"/>
      <c r="R66" s="506" t="s">
        <v>88</v>
      </c>
      <c r="S66" s="506"/>
      <c r="T66" s="506" t="s">
        <v>891</v>
      </c>
      <c r="U66" s="506"/>
      <c r="V66" s="506"/>
      <c r="W66" s="507"/>
    </row>
    <row r="67" spans="2:23">
      <c r="B67" s="505"/>
      <c r="C67" s="506"/>
      <c r="D67" s="506"/>
      <c r="E67" s="506"/>
      <c r="F67" s="506"/>
      <c r="G67" s="506"/>
      <c r="H67" s="506"/>
      <c r="I67" s="506"/>
      <c r="J67" s="506"/>
      <c r="K67" s="506"/>
      <c r="L67" s="506" t="s">
        <v>619</v>
      </c>
      <c r="M67" s="506" t="s">
        <v>727</v>
      </c>
      <c r="N67" s="506"/>
      <c r="O67" s="506"/>
      <c r="P67" s="506"/>
      <c r="Q67" s="506"/>
      <c r="R67" s="506" t="s">
        <v>88</v>
      </c>
      <c r="S67" s="506"/>
      <c r="T67" s="506" t="s">
        <v>892</v>
      </c>
      <c r="U67" s="506"/>
      <c r="V67" s="506"/>
      <c r="W67" s="507"/>
    </row>
    <row r="68" spans="2:23" ht="18.75" customHeight="1">
      <c r="B68" s="505"/>
      <c r="C68" s="506"/>
      <c r="D68" s="506"/>
      <c r="E68" s="506"/>
      <c r="F68" s="506"/>
      <c r="G68" s="506"/>
      <c r="H68" s="506"/>
      <c r="I68" s="506"/>
      <c r="J68" s="506"/>
      <c r="K68" s="506"/>
      <c r="L68" s="506" t="s">
        <v>672</v>
      </c>
      <c r="M68" s="506"/>
      <c r="N68" s="506"/>
      <c r="O68" s="506"/>
      <c r="P68" s="506"/>
      <c r="Q68" s="506"/>
      <c r="R68" s="506" t="s">
        <v>88</v>
      </c>
      <c r="S68" s="506"/>
      <c r="T68" s="506" t="s">
        <v>261</v>
      </c>
      <c r="U68" s="506" t="s">
        <v>193</v>
      </c>
      <c r="V68" s="506" t="s">
        <v>194</v>
      </c>
      <c r="W68" s="507" t="s">
        <v>195</v>
      </c>
    </row>
    <row r="69" spans="2:23">
      <c r="B69" s="505"/>
      <c r="C69" s="506"/>
      <c r="D69" s="506"/>
      <c r="E69" s="506"/>
      <c r="F69" s="506"/>
      <c r="G69" s="506"/>
      <c r="H69" s="506"/>
      <c r="I69" s="506"/>
      <c r="J69" s="506"/>
      <c r="K69" s="506"/>
      <c r="L69" s="506"/>
      <c r="M69" s="506"/>
      <c r="N69" s="506"/>
      <c r="O69" s="506"/>
      <c r="P69" s="506"/>
      <c r="Q69" s="506"/>
      <c r="R69" s="506" t="s">
        <v>88</v>
      </c>
      <c r="S69" s="506"/>
      <c r="T69" s="506">
        <v>0</v>
      </c>
      <c r="U69" s="506"/>
      <c r="V69" s="506"/>
      <c r="W69" s="507"/>
    </row>
    <row r="70" spans="2:23">
      <c r="B70" s="505"/>
      <c r="C70" s="506"/>
      <c r="D70" s="506"/>
      <c r="E70" s="506"/>
      <c r="F70" s="506"/>
      <c r="G70" s="506"/>
      <c r="H70" s="506"/>
      <c r="I70" s="506"/>
      <c r="J70" s="506"/>
      <c r="K70" s="506"/>
      <c r="L70" s="506"/>
      <c r="M70" s="506"/>
      <c r="N70" s="506"/>
      <c r="O70" s="506"/>
      <c r="P70" s="506"/>
      <c r="Q70" s="506"/>
      <c r="R70" s="506"/>
      <c r="S70" s="506"/>
      <c r="T70" s="506"/>
      <c r="U70" s="506"/>
      <c r="V70" s="506"/>
      <c r="W70" s="507"/>
    </row>
    <row r="71" spans="2:23" ht="75.75" customHeight="1" thickBot="1">
      <c r="B71" s="508" t="s">
        <v>493</v>
      </c>
      <c r="C71" s="509"/>
      <c r="D71" s="509"/>
      <c r="E71" s="509"/>
      <c r="F71" s="509"/>
      <c r="G71" s="509" t="s">
        <v>234</v>
      </c>
      <c r="H71" s="509"/>
      <c r="I71" s="509"/>
      <c r="J71" s="509"/>
      <c r="K71" s="509"/>
      <c r="L71" s="509" t="s">
        <v>610</v>
      </c>
      <c r="M71" s="509"/>
      <c r="N71" s="509">
        <v>0</v>
      </c>
      <c r="O71" s="509" t="s">
        <v>36</v>
      </c>
      <c r="P71" s="509"/>
      <c r="Q71" s="509"/>
      <c r="R71" s="509" t="s">
        <v>307</v>
      </c>
      <c r="S71" s="509"/>
      <c r="T71" s="509"/>
      <c r="U71" s="509">
        <v>0</v>
      </c>
      <c r="V71" s="509"/>
      <c r="W71" s="510"/>
    </row>
    <row r="73" spans="2:23" ht="12.75" thickBot="1"/>
    <row r="74" spans="2:23" ht="32.25" customHeight="1">
      <c r="B74" s="502">
        <v>0</v>
      </c>
      <c r="C74" s="503" t="s">
        <v>271</v>
      </c>
      <c r="D74" s="503"/>
      <c r="E74" s="503"/>
      <c r="F74" s="503"/>
      <c r="G74" s="503"/>
      <c r="H74" s="503"/>
      <c r="I74" s="503"/>
      <c r="J74" s="503"/>
      <c r="K74" s="503"/>
      <c r="L74" s="503">
        <v>0</v>
      </c>
      <c r="M74" s="503" t="s">
        <v>282</v>
      </c>
      <c r="N74" s="503"/>
      <c r="O74" s="503"/>
      <c r="P74" s="503"/>
      <c r="Q74" s="503"/>
      <c r="R74" s="503">
        <v>0</v>
      </c>
      <c r="S74" s="503" t="s">
        <v>279</v>
      </c>
      <c r="T74" s="503"/>
      <c r="U74" s="503"/>
      <c r="V74" s="503"/>
      <c r="W74" s="504"/>
    </row>
    <row r="75" spans="2:23" ht="26.25" customHeight="1">
      <c r="B75" s="505" t="s">
        <v>899</v>
      </c>
      <c r="C75" s="506"/>
      <c r="D75" s="506"/>
      <c r="E75" s="506"/>
      <c r="F75" s="506"/>
      <c r="G75" s="506" t="s">
        <v>525</v>
      </c>
      <c r="H75" s="506"/>
      <c r="I75" s="506"/>
      <c r="J75" s="506"/>
      <c r="K75" s="506"/>
      <c r="L75" s="506"/>
      <c r="M75" s="506"/>
      <c r="N75" s="506"/>
      <c r="O75" s="506"/>
      <c r="P75" s="506"/>
      <c r="Q75" s="506"/>
      <c r="R75" s="506" t="s">
        <v>280</v>
      </c>
      <c r="S75" s="506"/>
      <c r="T75" s="506" t="s">
        <v>79</v>
      </c>
      <c r="U75" s="506" t="s">
        <v>595</v>
      </c>
      <c r="V75" s="506" t="s">
        <v>597</v>
      </c>
      <c r="W75" s="507" t="s">
        <v>596</v>
      </c>
    </row>
    <row r="76" spans="2:23" ht="12" customHeight="1">
      <c r="B76" s="505" t="s">
        <v>527</v>
      </c>
      <c r="C76" s="506"/>
      <c r="D76" s="506" t="s">
        <v>263</v>
      </c>
      <c r="E76" s="506" t="s">
        <v>267</v>
      </c>
      <c r="F76" s="506"/>
      <c r="G76" s="506" t="s">
        <v>525</v>
      </c>
      <c r="H76" s="506"/>
      <c r="I76" s="506" t="s">
        <v>268</v>
      </c>
      <c r="J76" s="506"/>
      <c r="K76" s="506"/>
      <c r="L76" s="506"/>
      <c r="M76" s="506"/>
      <c r="N76" s="506"/>
      <c r="O76" s="506"/>
      <c r="P76" s="506"/>
      <c r="Q76" s="506"/>
      <c r="R76" s="506"/>
      <c r="S76" s="506"/>
      <c r="T76" s="506"/>
      <c r="U76" s="506"/>
      <c r="V76" s="506"/>
      <c r="W76" s="507"/>
    </row>
    <row r="77" spans="2:23" ht="12" customHeight="1">
      <c r="B77" s="505"/>
      <c r="C77" s="506"/>
      <c r="D77" s="506"/>
      <c r="E77" s="506"/>
      <c r="F77" s="506"/>
      <c r="G77" s="506"/>
      <c r="H77" s="506"/>
      <c r="I77" s="506"/>
      <c r="J77" s="506"/>
      <c r="K77" s="506"/>
      <c r="L77" s="506"/>
      <c r="M77" s="506"/>
      <c r="N77" s="506"/>
      <c r="O77" s="506"/>
      <c r="P77" s="506"/>
      <c r="Q77" s="506"/>
      <c r="R77" s="506"/>
      <c r="S77" s="506"/>
      <c r="T77" s="506"/>
      <c r="U77" s="506"/>
      <c r="V77" s="506"/>
      <c r="W77" s="507"/>
    </row>
    <row r="78" spans="2:23">
      <c r="B78" s="505"/>
      <c r="C78" s="506"/>
      <c r="D78" s="506"/>
      <c r="E78" s="506"/>
      <c r="F78" s="506"/>
      <c r="G78" s="506"/>
      <c r="H78" s="506"/>
      <c r="I78" s="506"/>
      <c r="J78" s="506"/>
      <c r="K78" s="506"/>
      <c r="L78" s="506"/>
      <c r="M78" s="506"/>
      <c r="N78" s="506"/>
      <c r="O78" s="506"/>
      <c r="P78" s="506"/>
      <c r="Q78" s="506"/>
      <c r="R78" s="506"/>
      <c r="S78" s="506"/>
      <c r="T78" s="506"/>
      <c r="U78" s="506"/>
      <c r="V78" s="506"/>
      <c r="W78" s="507"/>
    </row>
    <row r="79" spans="2:23" ht="19.5" customHeight="1">
      <c r="B79" s="505" t="s">
        <v>269</v>
      </c>
      <c r="C79" s="506"/>
      <c r="D79" s="506"/>
      <c r="E79" s="506"/>
      <c r="F79" s="506"/>
      <c r="G79" s="506" t="s">
        <v>272</v>
      </c>
      <c r="H79" s="506"/>
      <c r="I79" s="506"/>
      <c r="J79" s="506"/>
      <c r="K79" s="506"/>
      <c r="L79" s="506"/>
      <c r="M79" s="506"/>
      <c r="N79" s="506"/>
      <c r="O79" s="506"/>
      <c r="P79" s="506"/>
      <c r="Q79" s="506"/>
      <c r="R79" s="506"/>
      <c r="S79" s="506"/>
      <c r="T79" s="506"/>
      <c r="U79" s="506"/>
      <c r="V79" s="506"/>
      <c r="W79" s="507"/>
    </row>
    <row r="80" spans="2:23" ht="19.5" customHeight="1">
      <c r="B80" s="505"/>
      <c r="C80" s="506"/>
      <c r="D80" s="506"/>
      <c r="E80" s="506"/>
      <c r="F80" s="506"/>
      <c r="G80" s="506" t="s">
        <v>293</v>
      </c>
      <c r="H80" s="506"/>
      <c r="I80" s="506"/>
      <c r="J80" s="506"/>
      <c r="K80" s="506"/>
      <c r="L80" s="506"/>
      <c r="M80" s="506"/>
      <c r="N80" s="506"/>
      <c r="O80" s="506"/>
      <c r="P80" s="506"/>
      <c r="Q80" s="506"/>
      <c r="R80" s="506"/>
      <c r="S80" s="506"/>
      <c r="T80" s="506"/>
      <c r="U80" s="506"/>
      <c r="V80" s="506"/>
      <c r="W80" s="507"/>
    </row>
    <row r="81" spans="2:23" ht="19.5" customHeight="1">
      <c r="B81" s="505"/>
      <c r="C81" s="506"/>
      <c r="D81" s="506"/>
      <c r="E81" s="506"/>
      <c r="F81" s="506"/>
      <c r="G81" s="506" t="s">
        <v>296</v>
      </c>
      <c r="H81" s="506"/>
      <c r="I81" s="506"/>
      <c r="J81" s="506"/>
      <c r="K81" s="506"/>
      <c r="L81" s="506"/>
      <c r="M81" s="506"/>
      <c r="N81" s="506"/>
      <c r="O81" s="506"/>
      <c r="P81" s="506"/>
      <c r="Q81" s="506"/>
      <c r="R81" s="506"/>
      <c r="S81" s="506"/>
      <c r="T81" s="506"/>
      <c r="U81" s="506"/>
      <c r="V81" s="506"/>
      <c r="W81" s="507"/>
    </row>
    <row r="82" spans="2:23" ht="19.5" customHeight="1">
      <c r="B82" s="505"/>
      <c r="C82" s="506"/>
      <c r="D82" s="506"/>
      <c r="E82" s="506"/>
      <c r="F82" s="506"/>
      <c r="G82" s="506" t="s">
        <v>294</v>
      </c>
      <c r="H82" s="506"/>
      <c r="I82" s="506"/>
      <c r="J82" s="506"/>
      <c r="K82" s="506"/>
      <c r="L82" s="506"/>
      <c r="M82" s="506"/>
      <c r="N82" s="506"/>
      <c r="O82" s="506"/>
      <c r="P82" s="506"/>
      <c r="Q82" s="506"/>
      <c r="R82" s="506"/>
      <c r="S82" s="506"/>
      <c r="T82" s="506"/>
      <c r="U82" s="506"/>
      <c r="V82" s="506"/>
      <c r="W82" s="507"/>
    </row>
    <row r="83" spans="2:23" ht="24" customHeight="1">
      <c r="B83" s="505"/>
      <c r="C83" s="506"/>
      <c r="D83" s="506"/>
      <c r="E83" s="506"/>
      <c r="F83" s="506"/>
      <c r="G83" s="506" t="s">
        <v>74</v>
      </c>
      <c r="H83" s="506"/>
      <c r="I83" s="506"/>
      <c r="J83" s="506"/>
      <c r="K83" s="506"/>
      <c r="L83" s="506" t="s">
        <v>571</v>
      </c>
      <c r="M83" s="506" t="s">
        <v>727</v>
      </c>
      <c r="N83" s="506"/>
      <c r="O83" s="506"/>
      <c r="P83" s="506"/>
      <c r="Q83" s="506"/>
      <c r="R83" s="506"/>
      <c r="S83" s="506"/>
      <c r="T83" s="506"/>
      <c r="U83" s="506"/>
      <c r="V83" s="506"/>
      <c r="W83" s="507"/>
    </row>
    <row r="84" spans="2:23" ht="24" customHeight="1">
      <c r="B84" s="505"/>
      <c r="C84" s="506"/>
      <c r="D84" s="506"/>
      <c r="E84" s="506"/>
      <c r="F84" s="506"/>
      <c r="G84" s="506" t="s">
        <v>295</v>
      </c>
      <c r="H84" s="506"/>
      <c r="I84" s="506"/>
      <c r="J84" s="506"/>
      <c r="K84" s="506"/>
      <c r="L84" s="506" t="s">
        <v>572</v>
      </c>
      <c r="M84" s="506" t="s">
        <v>727</v>
      </c>
      <c r="N84" s="506"/>
      <c r="O84" s="506"/>
      <c r="P84" s="506"/>
      <c r="Q84" s="506"/>
      <c r="R84" s="506"/>
      <c r="S84" s="506"/>
      <c r="T84" s="506"/>
      <c r="U84" s="506"/>
      <c r="V84" s="506"/>
      <c r="W84" s="507"/>
    </row>
    <row r="85" spans="2:23" ht="24" customHeight="1">
      <c r="B85" s="505"/>
      <c r="C85" s="506"/>
      <c r="D85" s="506"/>
      <c r="E85" s="506"/>
      <c r="F85" s="506"/>
      <c r="G85" s="506" t="s">
        <v>401</v>
      </c>
      <c r="H85" s="506"/>
      <c r="I85" s="506" t="s">
        <v>255</v>
      </c>
      <c r="J85" s="506"/>
      <c r="K85" s="506"/>
      <c r="L85" s="506" t="s">
        <v>573</v>
      </c>
      <c r="M85" s="506" t="s">
        <v>727</v>
      </c>
      <c r="N85" s="506"/>
      <c r="O85" s="506"/>
      <c r="P85" s="506"/>
      <c r="Q85" s="506"/>
      <c r="R85" s="506"/>
      <c r="S85" s="506"/>
      <c r="T85" s="506"/>
      <c r="U85" s="506"/>
      <c r="V85" s="506"/>
      <c r="W85" s="507"/>
    </row>
    <row r="86" spans="2:23">
      <c r="B86" s="505"/>
      <c r="C86" s="506"/>
      <c r="D86" s="506"/>
      <c r="E86" s="506"/>
      <c r="F86" s="506"/>
      <c r="G86" s="506" t="s">
        <v>545</v>
      </c>
      <c r="H86" s="506" t="s">
        <v>400</v>
      </c>
      <c r="I86" s="506" t="s">
        <v>670</v>
      </c>
      <c r="J86" s="506" t="s">
        <v>671</v>
      </c>
      <c r="K86" s="506"/>
      <c r="L86" s="506" t="s">
        <v>574</v>
      </c>
      <c r="M86" s="506" t="s">
        <v>727</v>
      </c>
      <c r="N86" s="506"/>
      <c r="O86" s="506"/>
      <c r="P86" s="506"/>
      <c r="Q86" s="506"/>
      <c r="R86" s="506"/>
      <c r="S86" s="506"/>
      <c r="T86" s="506"/>
      <c r="U86" s="506"/>
      <c r="V86" s="506"/>
      <c r="W86" s="507"/>
    </row>
    <row r="87" spans="2:23" ht="24" customHeight="1">
      <c r="B87" s="505" t="s">
        <v>270</v>
      </c>
      <c r="C87" s="506"/>
      <c r="D87" s="506"/>
      <c r="E87" s="506"/>
      <c r="F87" s="506"/>
      <c r="G87" s="506" t="s">
        <v>38</v>
      </c>
      <c r="H87" s="506"/>
      <c r="I87" s="506"/>
      <c r="J87" s="506"/>
      <c r="K87" s="506"/>
      <c r="L87" s="506" t="s">
        <v>622</v>
      </c>
      <c r="M87" s="506" t="s">
        <v>727</v>
      </c>
      <c r="N87" s="506"/>
      <c r="O87" s="506"/>
      <c r="P87" s="506"/>
      <c r="Q87" s="506"/>
      <c r="R87" s="506"/>
      <c r="S87" s="506"/>
      <c r="T87" s="506"/>
      <c r="U87" s="506"/>
      <c r="V87" s="506"/>
      <c r="W87" s="507"/>
    </row>
    <row r="88" spans="2:23">
      <c r="B88" s="505"/>
      <c r="C88" s="506"/>
      <c r="D88" s="506"/>
      <c r="E88" s="506"/>
      <c r="F88" s="506"/>
      <c r="G88" s="506"/>
      <c r="H88" s="506"/>
      <c r="I88" s="506"/>
      <c r="J88" s="506"/>
      <c r="K88" s="506"/>
      <c r="L88" s="506"/>
      <c r="M88" s="506"/>
      <c r="N88" s="506"/>
      <c r="O88" s="506"/>
      <c r="P88" s="506"/>
      <c r="Q88" s="506"/>
      <c r="R88" s="506"/>
      <c r="S88" s="506"/>
      <c r="T88" s="506"/>
      <c r="U88" s="506"/>
      <c r="V88" s="506"/>
      <c r="W88" s="507"/>
    </row>
    <row r="89" spans="2:23" ht="32.25" customHeight="1">
      <c r="B89" s="505">
        <v>0</v>
      </c>
      <c r="C89" s="506" t="s">
        <v>281</v>
      </c>
      <c r="D89" s="506"/>
      <c r="E89" s="506"/>
      <c r="F89" s="506"/>
      <c r="G89" s="506"/>
      <c r="H89" s="506"/>
      <c r="I89" s="506"/>
      <c r="J89" s="506"/>
      <c r="K89" s="506"/>
      <c r="L89" s="506">
        <v>0</v>
      </c>
      <c r="M89" s="506" t="s">
        <v>278</v>
      </c>
      <c r="N89" s="506"/>
      <c r="O89" s="506"/>
      <c r="P89" s="506"/>
      <c r="Q89" s="506"/>
      <c r="R89" s="506">
        <v>0</v>
      </c>
      <c r="S89" s="506" t="s">
        <v>299</v>
      </c>
      <c r="T89" s="506"/>
      <c r="U89" s="506"/>
      <c r="V89" s="506"/>
      <c r="W89" s="507"/>
    </row>
    <row r="90" spans="2:23">
      <c r="B90" s="505"/>
      <c r="C90" s="506"/>
      <c r="D90" s="506"/>
      <c r="E90" s="506"/>
      <c r="F90" s="506"/>
      <c r="G90" s="506"/>
      <c r="H90" s="506"/>
      <c r="I90" s="506"/>
      <c r="J90" s="506"/>
      <c r="K90" s="506"/>
      <c r="L90" s="506"/>
      <c r="M90" s="506"/>
      <c r="N90" s="506"/>
      <c r="O90" s="506"/>
      <c r="P90" s="506"/>
      <c r="Q90" s="506"/>
      <c r="R90" s="506"/>
      <c r="S90" s="506"/>
      <c r="T90" s="506"/>
      <c r="U90" s="506"/>
      <c r="V90" s="506"/>
      <c r="W90" s="507"/>
    </row>
    <row r="91" spans="2:23">
      <c r="B91" s="505" t="s">
        <v>256</v>
      </c>
      <c r="C91" s="506"/>
      <c r="D91" s="506"/>
      <c r="E91" s="506"/>
      <c r="F91" s="506"/>
      <c r="G91" s="506"/>
      <c r="H91" s="506"/>
      <c r="I91" s="506"/>
      <c r="J91" s="506"/>
      <c r="K91" s="506"/>
      <c r="L91" s="506"/>
      <c r="M91" s="506"/>
      <c r="N91" s="506"/>
      <c r="O91" s="506"/>
      <c r="P91" s="506"/>
      <c r="Q91" s="506"/>
      <c r="R91" s="506"/>
      <c r="S91" s="506"/>
      <c r="T91" s="506"/>
      <c r="U91" s="506"/>
      <c r="V91" s="506"/>
      <c r="W91" s="507"/>
    </row>
    <row r="92" spans="2:23" ht="18.75" customHeight="1">
      <c r="B92" s="505"/>
      <c r="C92" s="506"/>
      <c r="D92" s="506"/>
      <c r="E92" s="506"/>
      <c r="F92" s="506"/>
      <c r="G92" s="506"/>
      <c r="H92" s="506"/>
      <c r="I92" s="506"/>
      <c r="J92" s="506"/>
      <c r="K92" s="506"/>
      <c r="L92" s="506"/>
      <c r="M92" s="506"/>
      <c r="N92" s="506"/>
      <c r="O92" s="506"/>
      <c r="P92" s="506"/>
      <c r="Q92" s="506"/>
      <c r="R92" s="506"/>
      <c r="S92" s="506"/>
      <c r="T92" s="506"/>
      <c r="U92" s="506"/>
      <c r="V92" s="506"/>
      <c r="W92" s="507"/>
    </row>
    <row r="93" spans="2:23" ht="12.75" customHeight="1">
      <c r="B93" s="505"/>
      <c r="C93" s="506"/>
      <c r="D93" s="506"/>
      <c r="E93" s="506"/>
      <c r="F93" s="506"/>
      <c r="G93" s="506"/>
      <c r="H93" s="506"/>
      <c r="I93" s="506"/>
      <c r="J93" s="506"/>
      <c r="K93" s="506"/>
      <c r="L93" s="506"/>
      <c r="M93" s="506"/>
      <c r="N93" s="506"/>
      <c r="O93" s="506"/>
      <c r="P93" s="506"/>
      <c r="Q93" s="506"/>
      <c r="R93" s="506"/>
      <c r="S93" s="506"/>
      <c r="T93" s="506"/>
      <c r="U93" s="506"/>
      <c r="V93" s="506"/>
      <c r="W93" s="507"/>
    </row>
    <row r="94" spans="2:23">
      <c r="B94" s="505">
        <v>0</v>
      </c>
      <c r="C94" s="506" t="s">
        <v>283</v>
      </c>
      <c r="D94" s="506"/>
      <c r="E94" s="506"/>
      <c r="F94" s="506"/>
      <c r="G94" s="506" t="s">
        <v>725</v>
      </c>
      <c r="H94" s="506" t="s">
        <v>729</v>
      </c>
      <c r="I94" s="506" t="s">
        <v>258</v>
      </c>
      <c r="J94" s="506"/>
      <c r="K94" s="506"/>
      <c r="L94" s="506"/>
      <c r="M94" s="506"/>
      <c r="N94" s="506"/>
      <c r="O94" s="506"/>
      <c r="P94" s="506"/>
      <c r="Q94" s="506"/>
      <c r="R94" s="506"/>
      <c r="S94" s="506"/>
      <c r="T94" s="506"/>
      <c r="U94" s="506"/>
      <c r="V94" s="506"/>
      <c r="W94" s="507"/>
    </row>
    <row r="95" spans="2:23" ht="39" customHeight="1">
      <c r="B95" s="505" t="s">
        <v>284</v>
      </c>
      <c r="C95" s="506"/>
      <c r="D95" s="506" t="s">
        <v>285</v>
      </c>
      <c r="E95" s="506" t="s">
        <v>189</v>
      </c>
      <c r="F95" s="506" t="s">
        <v>298</v>
      </c>
      <c r="G95" s="506" t="s">
        <v>286</v>
      </c>
      <c r="H95" s="506"/>
      <c r="I95" s="506"/>
      <c r="J95" s="506"/>
      <c r="K95" s="506"/>
      <c r="L95" s="506"/>
      <c r="M95" s="506"/>
      <c r="N95" s="506"/>
      <c r="O95" s="506"/>
      <c r="P95" s="506"/>
      <c r="Q95" s="506"/>
      <c r="R95" s="506"/>
      <c r="S95" s="506"/>
      <c r="T95" s="506"/>
      <c r="U95" s="506"/>
      <c r="V95" s="506"/>
      <c r="W95" s="507"/>
    </row>
    <row r="96" spans="2:23">
      <c r="B96" s="505"/>
      <c r="C96" s="506"/>
      <c r="D96" s="506" t="s">
        <v>260</v>
      </c>
      <c r="E96" s="506">
        <v>0</v>
      </c>
      <c r="F96" s="506">
        <v>0</v>
      </c>
      <c r="G96" s="506"/>
      <c r="H96" s="506"/>
      <c r="I96" s="506"/>
      <c r="J96" s="506"/>
      <c r="K96" s="506"/>
      <c r="L96" s="506"/>
      <c r="M96" s="506"/>
      <c r="N96" s="506"/>
      <c r="O96" s="506"/>
      <c r="P96" s="506"/>
      <c r="Q96" s="506"/>
      <c r="R96" s="506"/>
      <c r="S96" s="506"/>
      <c r="T96" s="506"/>
      <c r="U96" s="506"/>
      <c r="V96" s="506"/>
      <c r="W96" s="507"/>
    </row>
    <row r="97" spans="2:23" ht="39.75" customHeight="1">
      <c r="B97" s="505"/>
      <c r="C97" s="506"/>
      <c r="D97" s="506" t="s">
        <v>616</v>
      </c>
      <c r="E97" s="506">
        <v>0</v>
      </c>
      <c r="F97" s="506">
        <v>0</v>
      </c>
      <c r="G97" s="506"/>
      <c r="H97" s="506"/>
      <c r="I97" s="506"/>
      <c r="J97" s="506"/>
      <c r="K97" s="506"/>
      <c r="L97" s="506"/>
      <c r="M97" s="506"/>
      <c r="N97" s="506"/>
      <c r="O97" s="506"/>
      <c r="P97" s="506"/>
      <c r="Q97" s="506"/>
      <c r="R97" s="506"/>
      <c r="S97" s="506" t="s">
        <v>56</v>
      </c>
      <c r="T97" s="506"/>
      <c r="U97" s="506"/>
      <c r="V97" s="506"/>
      <c r="W97" s="507"/>
    </row>
    <row r="98" spans="2:23">
      <c r="B98" s="505"/>
      <c r="C98" s="506"/>
      <c r="D98" s="506" t="s">
        <v>327</v>
      </c>
      <c r="E98" s="506">
        <v>0</v>
      </c>
      <c r="F98" s="506">
        <v>0</v>
      </c>
      <c r="G98" s="506"/>
      <c r="H98" s="506"/>
      <c r="I98" s="506"/>
      <c r="J98" s="506"/>
      <c r="K98" s="506"/>
      <c r="L98" s="506"/>
      <c r="M98" s="506"/>
      <c r="N98" s="506"/>
      <c r="O98" s="506"/>
      <c r="P98" s="506"/>
      <c r="Q98" s="506"/>
      <c r="R98" s="506">
        <v>0</v>
      </c>
      <c r="S98" s="506" t="s">
        <v>604</v>
      </c>
      <c r="T98" s="506"/>
      <c r="U98" s="506"/>
      <c r="V98" s="506"/>
      <c r="W98" s="507"/>
    </row>
    <row r="99" spans="2:23" ht="39.75" customHeight="1">
      <c r="B99" s="505" t="s">
        <v>192</v>
      </c>
      <c r="C99" s="506"/>
      <c r="D99" s="506" t="s">
        <v>292</v>
      </c>
      <c r="E99" s="506"/>
      <c r="F99" s="506"/>
      <c r="G99" s="506" t="s">
        <v>328</v>
      </c>
      <c r="H99" s="506"/>
      <c r="I99" s="506" t="s">
        <v>287</v>
      </c>
      <c r="J99" s="506"/>
      <c r="K99" s="506"/>
      <c r="L99" s="506" t="s">
        <v>567</v>
      </c>
      <c r="M99" s="506" t="s">
        <v>727</v>
      </c>
      <c r="N99" s="506"/>
      <c r="O99" s="506"/>
      <c r="P99" s="506"/>
      <c r="Q99" s="506"/>
      <c r="R99" s="506" t="s">
        <v>291</v>
      </c>
      <c r="S99" s="506"/>
      <c r="T99" s="506" t="s">
        <v>292</v>
      </c>
      <c r="U99" s="506" t="s">
        <v>595</v>
      </c>
      <c r="V99" s="506" t="s">
        <v>597</v>
      </c>
      <c r="W99" s="507" t="s">
        <v>596</v>
      </c>
    </row>
    <row r="100" spans="2:23" ht="24" customHeight="1">
      <c r="B100" s="505" t="s">
        <v>526</v>
      </c>
      <c r="C100" s="506"/>
      <c r="D100" s="506"/>
      <c r="E100" s="506"/>
      <c r="F100" s="506"/>
      <c r="G100" s="506"/>
      <c r="H100" s="506"/>
      <c r="I100" s="506"/>
      <c r="J100" s="506"/>
      <c r="K100" s="506"/>
      <c r="L100" s="506" t="s">
        <v>568</v>
      </c>
      <c r="M100" s="506" t="s">
        <v>727</v>
      </c>
      <c r="N100" s="506"/>
      <c r="O100" s="506"/>
      <c r="P100" s="506"/>
      <c r="Q100" s="506"/>
      <c r="R100" s="506"/>
      <c r="S100" s="506"/>
      <c r="T100" s="506"/>
      <c r="U100" s="506"/>
      <c r="V100" s="506"/>
      <c r="W100" s="507"/>
    </row>
    <row r="101" spans="2:23">
      <c r="B101" s="505"/>
      <c r="C101" s="506"/>
      <c r="D101" s="506"/>
      <c r="E101" s="506"/>
      <c r="F101" s="506"/>
      <c r="G101" s="506"/>
      <c r="H101" s="506"/>
      <c r="I101" s="506"/>
      <c r="J101" s="506"/>
      <c r="K101" s="506"/>
      <c r="L101" s="506" t="s">
        <v>569</v>
      </c>
      <c r="M101" s="506" t="s">
        <v>727</v>
      </c>
      <c r="N101" s="506"/>
      <c r="O101" s="506"/>
      <c r="P101" s="506"/>
      <c r="Q101" s="506"/>
      <c r="R101" s="506"/>
      <c r="S101" s="506"/>
      <c r="T101" s="506"/>
      <c r="U101" s="506"/>
      <c r="V101" s="506"/>
      <c r="W101" s="507"/>
    </row>
    <row r="102" spans="2:23">
      <c r="B102" s="505"/>
      <c r="C102" s="506"/>
      <c r="D102" s="506"/>
      <c r="E102" s="506"/>
      <c r="F102" s="506"/>
      <c r="G102" s="506"/>
      <c r="H102" s="506"/>
      <c r="I102" s="506"/>
      <c r="J102" s="506"/>
      <c r="K102" s="506"/>
      <c r="L102" s="506" t="s">
        <v>570</v>
      </c>
      <c r="M102" s="506" t="s">
        <v>727</v>
      </c>
      <c r="N102" s="506"/>
      <c r="O102" s="506"/>
      <c r="P102" s="506"/>
      <c r="Q102" s="506"/>
      <c r="R102" s="506"/>
      <c r="S102" s="506"/>
      <c r="T102" s="506"/>
      <c r="U102" s="506"/>
      <c r="V102" s="506"/>
      <c r="W102" s="507"/>
    </row>
    <row r="103" spans="2:23">
      <c r="B103" s="505"/>
      <c r="C103" s="506"/>
      <c r="D103" s="506"/>
      <c r="E103" s="506"/>
      <c r="F103" s="506"/>
      <c r="G103" s="506"/>
      <c r="H103" s="506"/>
      <c r="I103" s="506"/>
      <c r="J103" s="506"/>
      <c r="K103" s="506"/>
      <c r="L103" s="506" t="s">
        <v>619</v>
      </c>
      <c r="M103" s="506" t="s">
        <v>727</v>
      </c>
      <c r="N103" s="506"/>
      <c r="O103" s="506"/>
      <c r="P103" s="506"/>
      <c r="Q103" s="506"/>
      <c r="R103" s="506"/>
      <c r="S103" s="506"/>
      <c r="T103" s="506"/>
      <c r="U103" s="506"/>
      <c r="V103" s="506"/>
      <c r="W103" s="507"/>
    </row>
    <row r="104" spans="2:23" ht="18.75" customHeight="1">
      <c r="B104" s="505"/>
      <c r="C104" s="506"/>
      <c r="D104" s="506"/>
      <c r="E104" s="506"/>
      <c r="F104" s="506"/>
      <c r="G104" s="506"/>
      <c r="H104" s="506"/>
      <c r="I104" s="506"/>
      <c r="J104" s="506"/>
      <c r="K104" s="506"/>
      <c r="L104" s="506" t="s">
        <v>453</v>
      </c>
      <c r="M104" s="506"/>
      <c r="N104" s="506"/>
      <c r="O104" s="506"/>
      <c r="P104" s="506"/>
      <c r="Q104" s="506"/>
      <c r="R104" s="506"/>
      <c r="S104" s="506"/>
      <c r="T104" s="506" t="s">
        <v>261</v>
      </c>
      <c r="U104" s="506" t="s">
        <v>316</v>
      </c>
      <c r="V104" s="506" t="s">
        <v>317</v>
      </c>
      <c r="W104" s="507" t="s">
        <v>318</v>
      </c>
    </row>
    <row r="105" spans="2:23">
      <c r="B105" s="505"/>
      <c r="C105" s="506"/>
      <c r="D105" s="506"/>
      <c r="E105" s="506"/>
      <c r="F105" s="506"/>
      <c r="G105" s="506"/>
      <c r="H105" s="506"/>
      <c r="I105" s="506"/>
      <c r="J105" s="506"/>
      <c r="K105" s="506"/>
      <c r="L105" s="506"/>
      <c r="M105" s="506"/>
      <c r="N105" s="506"/>
      <c r="O105" s="506"/>
      <c r="P105" s="506"/>
      <c r="Q105" s="506"/>
      <c r="R105" s="506"/>
      <c r="S105" s="506"/>
      <c r="T105" s="506">
        <v>0</v>
      </c>
      <c r="U105" s="506"/>
      <c r="V105" s="506"/>
      <c r="W105" s="507"/>
    </row>
    <row r="106" spans="2:23">
      <c r="B106" s="505"/>
      <c r="C106" s="506"/>
      <c r="D106" s="506"/>
      <c r="E106" s="506"/>
      <c r="F106" s="506"/>
      <c r="G106" s="506"/>
      <c r="H106" s="506"/>
      <c r="I106" s="506"/>
      <c r="J106" s="506"/>
      <c r="K106" s="506"/>
      <c r="L106" s="506"/>
      <c r="M106" s="506"/>
      <c r="N106" s="506"/>
      <c r="O106" s="506"/>
      <c r="P106" s="506"/>
      <c r="Q106" s="506"/>
      <c r="R106" s="506"/>
      <c r="S106" s="506"/>
      <c r="T106" s="506"/>
      <c r="U106" s="506"/>
      <c r="V106" s="506"/>
      <c r="W106" s="507"/>
    </row>
    <row r="107" spans="2:23" ht="45.75" customHeight="1" thickBot="1">
      <c r="B107" s="508" t="s">
        <v>489</v>
      </c>
      <c r="C107" s="509"/>
      <c r="D107" s="509"/>
      <c r="E107" s="509"/>
      <c r="F107" s="509"/>
      <c r="G107" s="509" t="s">
        <v>300</v>
      </c>
      <c r="H107" s="509"/>
      <c r="I107" s="509"/>
      <c r="J107" s="509"/>
      <c r="K107" s="509"/>
      <c r="L107" s="509" t="s">
        <v>301</v>
      </c>
      <c r="M107" s="509"/>
      <c r="N107" s="509">
        <v>0</v>
      </c>
      <c r="O107" s="509" t="s">
        <v>326</v>
      </c>
      <c r="P107" s="509"/>
      <c r="Q107" s="509"/>
      <c r="R107" s="509" t="s">
        <v>325</v>
      </c>
      <c r="S107" s="509"/>
      <c r="T107" s="509"/>
      <c r="U107" s="509">
        <v>0</v>
      </c>
      <c r="V107" s="509"/>
      <c r="W107" s="510"/>
    </row>
    <row r="109" spans="2:23" ht="12.75" thickBot="1"/>
    <row r="110" spans="2:23" ht="43.5" customHeight="1">
      <c r="B110" s="502">
        <v>0</v>
      </c>
      <c r="C110" s="503" t="s">
        <v>462</v>
      </c>
      <c r="D110" s="503"/>
      <c r="E110" s="503"/>
      <c r="F110" s="503"/>
      <c r="G110" s="503"/>
      <c r="H110" s="503"/>
      <c r="I110" s="503"/>
      <c r="J110" s="503"/>
      <c r="K110" s="503"/>
      <c r="L110" s="503">
        <v>0</v>
      </c>
      <c r="M110" s="503" t="s">
        <v>346</v>
      </c>
      <c r="N110" s="503"/>
      <c r="O110" s="503"/>
      <c r="P110" s="503"/>
      <c r="Q110" s="503"/>
      <c r="R110" s="503">
        <v>0</v>
      </c>
      <c r="S110" s="503" t="s">
        <v>348</v>
      </c>
      <c r="T110" s="503"/>
      <c r="U110" s="503"/>
      <c r="V110" s="503"/>
      <c r="W110" s="504"/>
    </row>
    <row r="111" spans="2:23" ht="60">
      <c r="B111" s="511" t="s">
        <v>895</v>
      </c>
      <c r="C111" s="506"/>
      <c r="D111" s="506"/>
      <c r="E111" s="506"/>
      <c r="F111" s="506"/>
      <c r="G111" s="506"/>
      <c r="H111" s="506"/>
      <c r="I111" s="506"/>
      <c r="J111" s="506"/>
      <c r="K111" s="506"/>
      <c r="L111" s="506"/>
      <c r="M111" s="506"/>
      <c r="N111" s="506"/>
      <c r="O111" s="506"/>
      <c r="P111" s="506"/>
      <c r="Q111" s="506"/>
      <c r="R111" s="506" t="s">
        <v>349</v>
      </c>
      <c r="S111" s="506"/>
      <c r="T111" s="506" t="s">
        <v>350</v>
      </c>
      <c r="U111" s="506" t="s">
        <v>599</v>
      </c>
      <c r="V111" s="506" t="s">
        <v>351</v>
      </c>
      <c r="W111" s="507" t="s">
        <v>598</v>
      </c>
    </row>
    <row r="112" spans="2:23">
      <c r="B112" s="505" t="s">
        <v>472</v>
      </c>
      <c r="C112" s="506"/>
      <c r="D112" s="506" t="s">
        <v>264</v>
      </c>
      <c r="E112" s="506" t="s">
        <v>331</v>
      </c>
      <c r="F112" s="506"/>
      <c r="G112" s="506" t="s">
        <v>585</v>
      </c>
      <c r="H112" s="506"/>
      <c r="I112" s="506" t="s">
        <v>333</v>
      </c>
      <c r="J112" s="506"/>
      <c r="K112" s="506"/>
      <c r="L112" s="506"/>
      <c r="M112" s="506"/>
      <c r="N112" s="506"/>
      <c r="O112" s="506"/>
      <c r="P112" s="506"/>
      <c r="Q112" s="506"/>
      <c r="R112" s="506"/>
      <c r="S112" s="506"/>
      <c r="T112" s="506"/>
      <c r="U112" s="506"/>
      <c r="V112" s="506"/>
      <c r="W112" s="507"/>
    </row>
    <row r="113" spans="2:23">
      <c r="B113" s="505"/>
      <c r="C113" s="506"/>
      <c r="D113" s="506"/>
      <c r="E113" s="506"/>
      <c r="F113" s="506"/>
      <c r="G113" s="506"/>
      <c r="H113" s="506"/>
      <c r="I113" s="506"/>
      <c r="J113" s="506"/>
      <c r="K113" s="506"/>
      <c r="L113" s="506"/>
      <c r="M113" s="506"/>
      <c r="N113" s="506"/>
      <c r="O113" s="506"/>
      <c r="P113" s="506"/>
      <c r="Q113" s="506"/>
      <c r="R113" s="506"/>
      <c r="S113" s="506"/>
      <c r="T113" s="506"/>
      <c r="U113" s="506"/>
      <c r="V113" s="506"/>
      <c r="W113" s="507"/>
    </row>
    <row r="114" spans="2:23">
      <c r="B114" s="505"/>
      <c r="C114" s="506"/>
      <c r="D114" s="506"/>
      <c r="E114" s="506"/>
      <c r="F114" s="506"/>
      <c r="G114" s="506"/>
      <c r="H114" s="506"/>
      <c r="I114" s="506"/>
      <c r="J114" s="506"/>
      <c r="K114" s="506"/>
      <c r="L114" s="506"/>
      <c r="M114" s="506"/>
      <c r="N114" s="506"/>
      <c r="O114" s="506"/>
      <c r="P114" s="506"/>
      <c r="Q114" s="506"/>
      <c r="R114" s="506"/>
      <c r="S114" s="506"/>
      <c r="T114" s="506"/>
      <c r="U114" s="506"/>
      <c r="V114" s="506"/>
      <c r="W114" s="507"/>
    </row>
    <row r="115" spans="2:23">
      <c r="B115" s="505" t="s">
        <v>418</v>
      </c>
      <c r="C115" s="506"/>
      <c r="D115" s="506"/>
      <c r="E115" s="506"/>
      <c r="F115" s="506"/>
      <c r="G115" s="506" t="s">
        <v>421</v>
      </c>
      <c r="H115" s="506"/>
      <c r="I115" s="506"/>
      <c r="J115" s="506"/>
      <c r="K115" s="506"/>
      <c r="L115" s="506"/>
      <c r="M115" s="506"/>
      <c r="N115" s="506"/>
      <c r="O115" s="506"/>
      <c r="P115" s="506"/>
      <c r="Q115" s="506"/>
      <c r="R115" s="506"/>
      <c r="S115" s="506"/>
      <c r="T115" s="506"/>
      <c r="U115" s="506"/>
      <c r="V115" s="506"/>
      <c r="W115" s="507"/>
    </row>
    <row r="116" spans="2:23">
      <c r="B116" s="505"/>
      <c r="C116" s="506"/>
      <c r="D116" s="506"/>
      <c r="E116" s="506"/>
      <c r="F116" s="506"/>
      <c r="G116" s="506" t="s">
        <v>584</v>
      </c>
      <c r="H116" s="506"/>
      <c r="I116" s="506"/>
      <c r="J116" s="506"/>
      <c r="K116" s="506"/>
      <c r="L116" s="506"/>
      <c r="M116" s="506"/>
      <c r="N116" s="506"/>
      <c r="O116" s="506"/>
      <c r="P116" s="506"/>
      <c r="Q116" s="506"/>
      <c r="R116" s="506"/>
      <c r="S116" s="506"/>
      <c r="T116" s="506"/>
      <c r="U116" s="506"/>
      <c r="V116" s="506"/>
      <c r="W116" s="507"/>
    </row>
    <row r="117" spans="2:23">
      <c r="B117" s="505"/>
      <c r="C117" s="506"/>
      <c r="D117" s="506"/>
      <c r="E117" s="506"/>
      <c r="F117" s="506"/>
      <c r="G117" s="506" t="s">
        <v>422</v>
      </c>
      <c r="H117" s="506"/>
      <c r="I117" s="506"/>
      <c r="J117" s="506"/>
      <c r="K117" s="506"/>
      <c r="L117" s="506"/>
      <c r="M117" s="506"/>
      <c r="N117" s="506"/>
      <c r="O117" s="506"/>
      <c r="P117" s="506"/>
      <c r="Q117" s="506"/>
      <c r="R117" s="506"/>
      <c r="S117" s="506"/>
      <c r="T117" s="506"/>
      <c r="U117" s="506"/>
      <c r="V117" s="506"/>
      <c r="W117" s="507"/>
    </row>
    <row r="118" spans="2:23">
      <c r="B118" s="505"/>
      <c r="C118" s="506"/>
      <c r="D118" s="506"/>
      <c r="E118" s="506"/>
      <c r="F118" s="506"/>
      <c r="G118" s="506" t="s">
        <v>583</v>
      </c>
      <c r="H118" s="506"/>
      <c r="I118" s="506"/>
      <c r="J118" s="506"/>
      <c r="K118" s="506"/>
      <c r="L118" s="506"/>
      <c r="M118" s="506"/>
      <c r="N118" s="506"/>
      <c r="O118" s="506"/>
      <c r="P118" s="506"/>
      <c r="Q118" s="506"/>
      <c r="R118" s="506"/>
      <c r="S118" s="506"/>
      <c r="T118" s="506"/>
      <c r="U118" s="506"/>
      <c r="V118" s="506"/>
      <c r="W118" s="507"/>
    </row>
    <row r="119" spans="2:23">
      <c r="B119" s="505"/>
      <c r="C119" s="506"/>
      <c r="D119" s="506"/>
      <c r="E119" s="506"/>
      <c r="F119" s="506"/>
      <c r="G119" s="506" t="s">
        <v>75</v>
      </c>
      <c r="H119" s="506"/>
      <c r="I119" s="506"/>
      <c r="J119" s="506"/>
      <c r="K119" s="506"/>
      <c r="L119" s="506" t="s">
        <v>571</v>
      </c>
      <c r="M119" s="506" t="s">
        <v>727</v>
      </c>
      <c r="N119" s="506"/>
      <c r="O119" s="506"/>
      <c r="P119" s="506"/>
      <c r="Q119" s="506"/>
      <c r="R119" s="506"/>
      <c r="S119" s="506"/>
      <c r="T119" s="506"/>
      <c r="U119" s="506"/>
      <c r="V119" s="506"/>
      <c r="W119" s="507"/>
    </row>
    <row r="120" spans="2:23">
      <c r="B120" s="505"/>
      <c r="C120" s="506"/>
      <c r="D120" s="506"/>
      <c r="E120" s="506"/>
      <c r="F120" s="506"/>
      <c r="G120" s="506" t="s">
        <v>26</v>
      </c>
      <c r="H120" s="506"/>
      <c r="I120" s="506"/>
      <c r="J120" s="506"/>
      <c r="K120" s="506"/>
      <c r="L120" s="506" t="s">
        <v>572</v>
      </c>
      <c r="M120" s="506" t="s">
        <v>727</v>
      </c>
      <c r="N120" s="506"/>
      <c r="O120" s="506"/>
      <c r="P120" s="506"/>
      <c r="Q120" s="506"/>
      <c r="R120" s="506"/>
      <c r="S120" s="506"/>
      <c r="T120" s="506"/>
      <c r="U120" s="506"/>
      <c r="V120" s="506"/>
      <c r="W120" s="507"/>
    </row>
    <row r="121" spans="2:23">
      <c r="B121" s="505"/>
      <c r="C121" s="506"/>
      <c r="D121" s="506"/>
      <c r="E121" s="506"/>
      <c r="F121" s="506"/>
      <c r="G121" s="506" t="s">
        <v>618</v>
      </c>
      <c r="H121" s="506"/>
      <c r="I121" s="506" t="s">
        <v>255</v>
      </c>
      <c r="J121" s="506"/>
      <c r="K121" s="506"/>
      <c r="L121" s="506" t="s">
        <v>573</v>
      </c>
      <c r="M121" s="506" t="s">
        <v>727</v>
      </c>
      <c r="N121" s="506"/>
      <c r="O121" s="506"/>
      <c r="P121" s="506"/>
      <c r="Q121" s="506"/>
      <c r="R121" s="506"/>
      <c r="S121" s="506"/>
      <c r="T121" s="506"/>
      <c r="U121" s="506"/>
      <c r="V121" s="506"/>
      <c r="W121" s="507"/>
    </row>
    <row r="122" spans="2:23">
      <c r="B122" s="505"/>
      <c r="C122" s="506"/>
      <c r="D122" s="506"/>
      <c r="E122" s="506"/>
      <c r="F122" s="506"/>
      <c r="G122" s="506" t="s">
        <v>553</v>
      </c>
      <c r="H122" s="506" t="s">
        <v>554</v>
      </c>
      <c r="I122" s="506" t="s">
        <v>617</v>
      </c>
      <c r="J122" s="506" t="s">
        <v>558</v>
      </c>
      <c r="K122" s="506"/>
      <c r="L122" s="506" t="s">
        <v>574</v>
      </c>
      <c r="M122" s="506" t="s">
        <v>727</v>
      </c>
      <c r="N122" s="506"/>
      <c r="O122" s="506"/>
      <c r="P122" s="506"/>
      <c r="Q122" s="506"/>
      <c r="R122" s="506"/>
      <c r="S122" s="506"/>
      <c r="T122" s="506"/>
      <c r="U122" s="506"/>
      <c r="V122" s="506"/>
      <c r="W122" s="507"/>
    </row>
    <row r="123" spans="2:23">
      <c r="B123" s="505" t="s">
        <v>332</v>
      </c>
      <c r="C123" s="506"/>
      <c r="D123" s="506"/>
      <c r="E123" s="506"/>
      <c r="F123" s="506"/>
      <c r="G123" s="506" t="s">
        <v>31</v>
      </c>
      <c r="H123" s="506"/>
      <c r="I123" s="506"/>
      <c r="J123" s="506"/>
      <c r="K123" s="506"/>
      <c r="L123" s="506" t="s">
        <v>622</v>
      </c>
      <c r="M123" s="506" t="s">
        <v>727</v>
      </c>
      <c r="N123" s="506"/>
      <c r="O123" s="506"/>
      <c r="P123" s="506"/>
      <c r="Q123" s="506"/>
      <c r="R123" s="506"/>
      <c r="S123" s="506"/>
      <c r="T123" s="506"/>
      <c r="U123" s="506"/>
      <c r="V123" s="506"/>
      <c r="W123" s="507"/>
    </row>
    <row r="124" spans="2:23">
      <c r="B124" s="505"/>
      <c r="C124" s="506"/>
      <c r="D124" s="506"/>
      <c r="E124" s="506"/>
      <c r="F124" s="506"/>
      <c r="G124" s="506"/>
      <c r="H124" s="506"/>
      <c r="I124" s="506"/>
      <c r="J124" s="506"/>
      <c r="K124" s="506"/>
      <c r="L124" s="506"/>
      <c r="M124" s="506"/>
      <c r="N124" s="506"/>
      <c r="O124" s="506"/>
      <c r="P124" s="506"/>
      <c r="Q124" s="506"/>
      <c r="R124" s="506"/>
      <c r="S124" s="506"/>
      <c r="T124" s="506"/>
      <c r="U124" s="506"/>
      <c r="V124" s="506"/>
      <c r="W124" s="507"/>
    </row>
    <row r="125" spans="2:23">
      <c r="B125" s="505">
        <v>0</v>
      </c>
      <c r="C125" s="506" t="s">
        <v>334</v>
      </c>
      <c r="D125" s="506"/>
      <c r="E125" s="506"/>
      <c r="F125" s="506"/>
      <c r="G125" s="506"/>
      <c r="H125" s="506"/>
      <c r="I125" s="506"/>
      <c r="J125" s="506"/>
      <c r="K125" s="506"/>
      <c r="L125" s="506">
        <v>0</v>
      </c>
      <c r="M125" s="506" t="s">
        <v>347</v>
      </c>
      <c r="N125" s="506"/>
      <c r="O125" s="506"/>
      <c r="P125" s="506"/>
      <c r="Q125" s="506"/>
      <c r="R125" s="506">
        <v>0</v>
      </c>
      <c r="S125" s="506" t="s">
        <v>352</v>
      </c>
      <c r="T125" s="506"/>
      <c r="U125" s="506"/>
      <c r="V125" s="506"/>
      <c r="W125" s="507"/>
    </row>
    <row r="126" spans="2:23">
      <c r="B126" s="505"/>
      <c r="C126" s="506"/>
      <c r="D126" s="506"/>
      <c r="E126" s="506"/>
      <c r="F126" s="506"/>
      <c r="G126" s="506"/>
      <c r="H126" s="506"/>
      <c r="I126" s="506"/>
      <c r="J126" s="506"/>
      <c r="K126" s="506"/>
      <c r="L126" s="506"/>
      <c r="M126" s="506"/>
      <c r="N126" s="506"/>
      <c r="O126" s="506"/>
      <c r="P126" s="506"/>
      <c r="Q126" s="506"/>
      <c r="R126" s="506"/>
      <c r="S126" s="506"/>
      <c r="T126" s="506"/>
      <c r="U126" s="506"/>
      <c r="V126" s="506"/>
      <c r="W126" s="507"/>
    </row>
    <row r="127" spans="2:23">
      <c r="B127" s="505" t="s">
        <v>425</v>
      </c>
      <c r="C127" s="506"/>
      <c r="D127" s="506"/>
      <c r="E127" s="506"/>
      <c r="F127" s="506"/>
      <c r="G127" s="506"/>
      <c r="H127" s="506"/>
      <c r="I127" s="506"/>
      <c r="J127" s="506"/>
      <c r="K127" s="506"/>
      <c r="L127" s="506"/>
      <c r="M127" s="506"/>
      <c r="N127" s="506"/>
      <c r="O127" s="506"/>
      <c r="P127" s="506"/>
      <c r="Q127" s="506"/>
      <c r="R127" s="506"/>
      <c r="S127" s="506"/>
      <c r="T127" s="506"/>
      <c r="U127" s="506"/>
      <c r="V127" s="506"/>
      <c r="W127" s="507"/>
    </row>
    <row r="128" spans="2:23">
      <c r="B128" s="505"/>
      <c r="C128" s="506"/>
      <c r="D128" s="506"/>
      <c r="E128" s="506"/>
      <c r="F128" s="506"/>
      <c r="G128" s="506"/>
      <c r="H128" s="506"/>
      <c r="I128" s="506"/>
      <c r="J128" s="506"/>
      <c r="K128" s="506"/>
      <c r="L128" s="506"/>
      <c r="M128" s="506"/>
      <c r="N128" s="506"/>
      <c r="O128" s="506"/>
      <c r="P128" s="506"/>
      <c r="Q128" s="506"/>
      <c r="R128" s="506"/>
      <c r="S128" s="506"/>
      <c r="T128" s="506"/>
      <c r="U128" s="506"/>
      <c r="V128" s="506"/>
      <c r="W128" s="507"/>
    </row>
    <row r="129" spans="2:23">
      <c r="B129" s="505"/>
      <c r="C129" s="506"/>
      <c r="D129" s="506"/>
      <c r="E129" s="506"/>
      <c r="F129" s="506"/>
      <c r="G129" s="506"/>
      <c r="H129" s="506"/>
      <c r="I129" s="506"/>
      <c r="J129" s="506"/>
      <c r="K129" s="506"/>
      <c r="L129" s="506"/>
      <c r="M129" s="506"/>
      <c r="N129" s="506"/>
      <c r="O129" s="506"/>
      <c r="P129" s="506"/>
      <c r="Q129" s="506"/>
      <c r="R129" s="506"/>
      <c r="S129" s="506"/>
      <c r="T129" s="506"/>
      <c r="U129" s="506"/>
      <c r="V129" s="506"/>
      <c r="W129" s="507"/>
    </row>
    <row r="130" spans="2:23">
      <c r="B130" s="505">
        <v>0</v>
      </c>
      <c r="C130" s="506" t="s">
        <v>335</v>
      </c>
      <c r="D130" s="506"/>
      <c r="E130" s="506"/>
      <c r="F130" s="506"/>
      <c r="G130" s="506" t="s">
        <v>731</v>
      </c>
      <c r="H130" s="506" t="s">
        <v>729</v>
      </c>
      <c r="I130" s="506" t="s">
        <v>32</v>
      </c>
      <c r="J130" s="506"/>
      <c r="K130" s="506"/>
      <c r="L130" s="506"/>
      <c r="M130" s="506"/>
      <c r="N130" s="506"/>
      <c r="O130" s="506"/>
      <c r="P130" s="506"/>
      <c r="Q130" s="506"/>
      <c r="R130" s="506"/>
      <c r="S130" s="506"/>
      <c r="T130" s="506"/>
      <c r="U130" s="506"/>
      <c r="V130" s="506"/>
      <c r="W130" s="507"/>
    </row>
    <row r="131" spans="2:23">
      <c r="B131" s="505" t="s">
        <v>340</v>
      </c>
      <c r="C131" s="506"/>
      <c r="D131" s="506" t="s">
        <v>337</v>
      </c>
      <c r="E131" s="506" t="s">
        <v>189</v>
      </c>
      <c r="F131" s="506" t="s">
        <v>339</v>
      </c>
      <c r="G131" s="506" t="s">
        <v>336</v>
      </c>
      <c r="H131" s="506"/>
      <c r="I131" s="506"/>
      <c r="J131" s="506"/>
      <c r="K131" s="506"/>
      <c r="L131" s="506"/>
      <c r="M131" s="506"/>
      <c r="N131" s="506"/>
      <c r="O131" s="506"/>
      <c r="P131" s="506"/>
      <c r="Q131" s="506"/>
      <c r="R131" s="506"/>
      <c r="S131" s="506"/>
      <c r="T131" s="506"/>
      <c r="U131" s="506"/>
      <c r="V131" s="506"/>
      <c r="W131" s="507"/>
    </row>
    <row r="132" spans="2:23">
      <c r="B132" s="505"/>
      <c r="C132" s="506"/>
      <c r="D132" s="506" t="s">
        <v>330</v>
      </c>
      <c r="E132" s="506">
        <v>0</v>
      </c>
      <c r="F132" s="506">
        <v>0</v>
      </c>
      <c r="G132" s="506"/>
      <c r="H132" s="506"/>
      <c r="I132" s="506"/>
      <c r="J132" s="506"/>
      <c r="K132" s="506"/>
      <c r="L132" s="506"/>
      <c r="M132" s="506"/>
      <c r="N132" s="506"/>
      <c r="O132" s="506"/>
      <c r="P132" s="506"/>
      <c r="Q132" s="506"/>
      <c r="R132" s="506"/>
      <c r="S132" s="506"/>
      <c r="T132" s="506"/>
      <c r="U132" s="506"/>
      <c r="V132" s="506"/>
      <c r="W132" s="507"/>
    </row>
    <row r="133" spans="2:23">
      <c r="B133" s="505"/>
      <c r="C133" s="506"/>
      <c r="D133" s="506" t="s">
        <v>616</v>
      </c>
      <c r="E133" s="506">
        <v>0</v>
      </c>
      <c r="F133" s="506">
        <v>0</v>
      </c>
      <c r="G133" s="506"/>
      <c r="H133" s="506"/>
      <c r="I133" s="506"/>
      <c r="J133" s="506"/>
      <c r="K133" s="506"/>
      <c r="L133" s="506"/>
      <c r="M133" s="506"/>
      <c r="N133" s="506"/>
      <c r="O133" s="506"/>
      <c r="P133" s="506"/>
      <c r="Q133" s="506"/>
      <c r="R133" s="506"/>
      <c r="S133" s="506" t="s">
        <v>42</v>
      </c>
      <c r="T133" s="506"/>
      <c r="U133" s="506"/>
      <c r="V133" s="506"/>
      <c r="W133" s="507"/>
    </row>
    <row r="134" spans="2:23">
      <c r="B134" s="505"/>
      <c r="C134" s="506"/>
      <c r="D134" s="506" t="s">
        <v>338</v>
      </c>
      <c r="E134" s="506">
        <v>0</v>
      </c>
      <c r="F134" s="506">
        <v>0</v>
      </c>
      <c r="G134" s="506"/>
      <c r="H134" s="506"/>
      <c r="I134" s="506"/>
      <c r="J134" s="506"/>
      <c r="K134" s="506"/>
      <c r="L134" s="506"/>
      <c r="M134" s="506"/>
      <c r="N134" s="506"/>
      <c r="O134" s="506"/>
      <c r="P134" s="506"/>
      <c r="Q134" s="506"/>
      <c r="R134" s="506">
        <v>0</v>
      </c>
      <c r="S134" s="506" t="s">
        <v>353</v>
      </c>
      <c r="T134" s="506"/>
      <c r="U134" s="506"/>
      <c r="V134" s="506"/>
      <c r="W134" s="507"/>
    </row>
    <row r="135" spans="2:23">
      <c r="B135" s="505" t="s">
        <v>192</v>
      </c>
      <c r="C135" s="506"/>
      <c r="D135" s="506" t="s">
        <v>292</v>
      </c>
      <c r="E135" s="506"/>
      <c r="F135" s="506"/>
      <c r="G135" s="506" t="s">
        <v>27</v>
      </c>
      <c r="H135" s="506"/>
      <c r="I135" s="506" t="s">
        <v>342</v>
      </c>
      <c r="J135" s="506"/>
      <c r="K135" s="506"/>
      <c r="L135" s="506" t="s">
        <v>567</v>
      </c>
      <c r="M135" s="506" t="s">
        <v>727</v>
      </c>
      <c r="N135" s="506"/>
      <c r="O135" s="506"/>
      <c r="P135" s="506"/>
      <c r="Q135" s="506"/>
      <c r="R135" s="506" t="s">
        <v>582</v>
      </c>
      <c r="S135" s="506"/>
      <c r="T135" s="506" t="s">
        <v>292</v>
      </c>
      <c r="U135" s="506" t="s">
        <v>599</v>
      </c>
      <c r="V135" s="506" t="s">
        <v>351</v>
      </c>
      <c r="W135" s="507" t="s">
        <v>598</v>
      </c>
    </row>
    <row r="136" spans="2:23">
      <c r="B136" s="505" t="s">
        <v>341</v>
      </c>
      <c r="C136" s="506"/>
      <c r="D136" s="506"/>
      <c r="E136" s="506"/>
      <c r="F136" s="506"/>
      <c r="G136" s="506"/>
      <c r="H136" s="506"/>
      <c r="I136" s="506"/>
      <c r="J136" s="506"/>
      <c r="K136" s="506"/>
      <c r="L136" s="506" t="s">
        <v>568</v>
      </c>
      <c r="M136" s="506" t="s">
        <v>727</v>
      </c>
      <c r="N136" s="506"/>
      <c r="O136" s="506"/>
      <c r="P136" s="506"/>
      <c r="Q136" s="506"/>
      <c r="R136" s="506"/>
      <c r="S136" s="506"/>
      <c r="T136" s="506"/>
      <c r="U136" s="506"/>
      <c r="V136" s="506"/>
      <c r="W136" s="507"/>
    </row>
    <row r="137" spans="2:23">
      <c r="B137" s="505"/>
      <c r="C137" s="506"/>
      <c r="D137" s="506"/>
      <c r="E137" s="506"/>
      <c r="F137" s="506"/>
      <c r="G137" s="506"/>
      <c r="H137" s="506"/>
      <c r="I137" s="506"/>
      <c r="J137" s="506"/>
      <c r="K137" s="506"/>
      <c r="L137" s="506" t="s">
        <v>569</v>
      </c>
      <c r="M137" s="506" t="s">
        <v>727</v>
      </c>
      <c r="N137" s="506"/>
      <c r="O137" s="506"/>
      <c r="P137" s="506"/>
      <c r="Q137" s="506"/>
      <c r="R137" s="506"/>
      <c r="S137" s="506"/>
      <c r="T137" s="506"/>
      <c r="U137" s="506"/>
      <c r="V137" s="506"/>
      <c r="W137" s="507"/>
    </row>
    <row r="138" spans="2:23">
      <c r="B138" s="505"/>
      <c r="C138" s="506"/>
      <c r="D138" s="506"/>
      <c r="E138" s="506"/>
      <c r="F138" s="506"/>
      <c r="G138" s="506"/>
      <c r="H138" s="506"/>
      <c r="I138" s="506"/>
      <c r="J138" s="506"/>
      <c r="K138" s="506"/>
      <c r="L138" s="506" t="s">
        <v>570</v>
      </c>
      <c r="M138" s="506" t="s">
        <v>727</v>
      </c>
      <c r="N138" s="506"/>
      <c r="O138" s="506"/>
      <c r="P138" s="506"/>
      <c r="Q138" s="506"/>
      <c r="R138" s="506"/>
      <c r="S138" s="506"/>
      <c r="T138" s="506"/>
      <c r="U138" s="506"/>
      <c r="V138" s="506"/>
      <c r="W138" s="507"/>
    </row>
    <row r="139" spans="2:23">
      <c r="B139" s="505"/>
      <c r="C139" s="506"/>
      <c r="D139" s="506"/>
      <c r="E139" s="506"/>
      <c r="F139" s="506"/>
      <c r="G139" s="506"/>
      <c r="H139" s="506"/>
      <c r="I139" s="506"/>
      <c r="J139" s="506"/>
      <c r="K139" s="506"/>
      <c r="L139" s="506" t="s">
        <v>619</v>
      </c>
      <c r="M139" s="506" t="s">
        <v>727</v>
      </c>
      <c r="N139" s="506"/>
      <c r="O139" s="506"/>
      <c r="P139" s="506"/>
      <c r="Q139" s="506"/>
      <c r="R139" s="506"/>
      <c r="S139" s="506"/>
      <c r="T139" s="506"/>
      <c r="U139" s="506"/>
      <c r="V139" s="506"/>
      <c r="W139" s="507"/>
    </row>
    <row r="140" spans="2:23">
      <c r="B140" s="505"/>
      <c r="C140" s="506"/>
      <c r="D140" s="506"/>
      <c r="E140" s="506"/>
      <c r="F140" s="506"/>
      <c r="G140" s="506"/>
      <c r="H140" s="506"/>
      <c r="I140" s="506"/>
      <c r="J140" s="506"/>
      <c r="K140" s="506"/>
      <c r="L140" s="506" t="s">
        <v>454</v>
      </c>
      <c r="M140" s="506"/>
      <c r="N140" s="506"/>
      <c r="O140" s="506"/>
      <c r="P140" s="506"/>
      <c r="Q140" s="506"/>
      <c r="R140" s="506"/>
      <c r="S140" s="506"/>
      <c r="T140" s="506" t="s">
        <v>261</v>
      </c>
      <c r="U140" s="506" t="s">
        <v>316</v>
      </c>
      <c r="V140" s="506" t="s">
        <v>317</v>
      </c>
      <c r="W140" s="507" t="s">
        <v>318</v>
      </c>
    </row>
    <row r="141" spans="2:23">
      <c r="B141" s="505"/>
      <c r="C141" s="506"/>
      <c r="D141" s="506"/>
      <c r="E141" s="506"/>
      <c r="F141" s="506"/>
      <c r="G141" s="506"/>
      <c r="H141" s="506"/>
      <c r="I141" s="506"/>
      <c r="J141" s="506"/>
      <c r="K141" s="506"/>
      <c r="L141" s="506"/>
      <c r="M141" s="506"/>
      <c r="N141" s="506"/>
      <c r="O141" s="506"/>
      <c r="P141" s="506"/>
      <c r="Q141" s="506"/>
      <c r="R141" s="506"/>
      <c r="S141" s="506"/>
      <c r="T141" s="506">
        <v>0</v>
      </c>
      <c r="U141" s="506"/>
      <c r="V141" s="506"/>
      <c r="W141" s="507"/>
    </row>
    <row r="142" spans="2:23">
      <c r="B142" s="505"/>
      <c r="C142" s="506"/>
      <c r="D142" s="506"/>
      <c r="E142" s="506"/>
      <c r="F142" s="506"/>
      <c r="G142" s="506"/>
      <c r="H142" s="506"/>
      <c r="I142" s="506"/>
      <c r="J142" s="506"/>
      <c r="K142" s="506"/>
      <c r="L142" s="506"/>
      <c r="M142" s="506"/>
      <c r="N142" s="506"/>
      <c r="O142" s="506"/>
      <c r="P142" s="506"/>
      <c r="Q142" s="506"/>
      <c r="R142" s="506"/>
      <c r="S142" s="506"/>
      <c r="T142" s="506"/>
      <c r="U142" s="506"/>
      <c r="V142" s="506"/>
      <c r="W142" s="507"/>
    </row>
    <row r="143" spans="2:23" ht="12.75" thickBot="1">
      <c r="B143" s="508" t="s">
        <v>474</v>
      </c>
      <c r="C143" s="509"/>
      <c r="D143" s="509"/>
      <c r="E143" s="509"/>
      <c r="F143" s="509"/>
      <c r="G143" s="509" t="s">
        <v>343</v>
      </c>
      <c r="H143" s="509"/>
      <c r="I143" s="509"/>
      <c r="J143" s="509"/>
      <c r="K143" s="509"/>
      <c r="L143" s="509" t="s">
        <v>344</v>
      </c>
      <c r="M143" s="509"/>
      <c r="N143" s="509">
        <v>0</v>
      </c>
      <c r="O143" s="509" t="s">
        <v>345</v>
      </c>
      <c r="P143" s="509"/>
      <c r="Q143" s="509"/>
      <c r="R143" s="509" t="s">
        <v>325</v>
      </c>
      <c r="S143" s="509"/>
      <c r="T143" s="509"/>
      <c r="U143" s="509">
        <v>10</v>
      </c>
      <c r="V143" s="509"/>
      <c r="W143" s="510"/>
    </row>
    <row r="145" spans="1:23" ht="12.75" thickBot="1"/>
    <row r="146" spans="1:23">
      <c r="B146" s="502">
        <v>0</v>
      </c>
      <c r="C146" s="503" t="s">
        <v>37</v>
      </c>
      <c r="D146" s="503"/>
      <c r="E146" s="503"/>
      <c r="F146" s="503"/>
      <c r="G146" s="503"/>
      <c r="H146" s="503"/>
      <c r="I146" s="503"/>
      <c r="J146" s="503"/>
      <c r="K146" s="503"/>
      <c r="L146" s="503">
        <v>0</v>
      </c>
      <c r="M146" s="503" t="s">
        <v>13</v>
      </c>
      <c r="N146" s="503"/>
      <c r="O146" s="503"/>
      <c r="P146" s="503"/>
      <c r="Q146" s="503"/>
      <c r="R146" s="503">
        <v>0</v>
      </c>
      <c r="S146" s="503" t="s">
        <v>15</v>
      </c>
      <c r="T146" s="503"/>
      <c r="U146" s="503"/>
      <c r="V146" s="503"/>
      <c r="W146" s="504"/>
    </row>
    <row r="147" spans="1:23">
      <c r="B147" s="505" t="s">
        <v>177</v>
      </c>
      <c r="C147" s="506"/>
      <c r="D147" s="506"/>
      <c r="E147" s="506"/>
      <c r="F147" s="506"/>
      <c r="G147" s="506"/>
      <c r="H147" s="506"/>
      <c r="I147" s="506"/>
      <c r="J147" s="506"/>
      <c r="K147" s="506"/>
      <c r="L147" s="506"/>
      <c r="M147" s="506"/>
      <c r="N147" s="506"/>
      <c r="O147" s="506"/>
      <c r="P147" s="506"/>
      <c r="Q147" s="506"/>
      <c r="R147" s="506" t="s">
        <v>16</v>
      </c>
      <c r="S147" s="506"/>
      <c r="T147" s="506" t="s">
        <v>17</v>
      </c>
      <c r="U147" s="506" t="s">
        <v>18</v>
      </c>
      <c r="V147" s="506" t="s">
        <v>323</v>
      </c>
      <c r="W147" s="507" t="s">
        <v>596</v>
      </c>
    </row>
    <row r="148" spans="1:23">
      <c r="B148" s="505" t="s">
        <v>496</v>
      </c>
      <c r="C148" s="506"/>
      <c r="D148" s="506" t="s">
        <v>25</v>
      </c>
      <c r="E148" s="506" t="s">
        <v>497</v>
      </c>
      <c r="F148" s="506"/>
      <c r="G148" s="506" t="s">
        <v>498</v>
      </c>
      <c r="H148" s="506"/>
      <c r="I148" s="506" t="s">
        <v>499</v>
      </c>
      <c r="J148" s="506"/>
      <c r="K148" s="506"/>
      <c r="L148" s="506"/>
      <c r="M148" s="506"/>
      <c r="N148" s="506"/>
      <c r="O148" s="506"/>
      <c r="P148" s="506"/>
      <c r="Q148" s="506"/>
      <c r="R148" s="506"/>
      <c r="S148" s="506"/>
      <c r="T148" s="506"/>
      <c r="U148" s="506"/>
      <c r="V148" s="506"/>
      <c r="W148" s="507"/>
    </row>
    <row r="149" spans="1:23">
      <c r="B149" s="505"/>
      <c r="C149" s="506"/>
      <c r="D149" s="506"/>
      <c r="E149" s="506"/>
      <c r="F149" s="506"/>
      <c r="G149" s="506"/>
      <c r="H149" s="506"/>
      <c r="I149" s="506"/>
      <c r="J149" s="506"/>
      <c r="K149" s="506"/>
      <c r="L149" s="506"/>
      <c r="M149" s="506"/>
      <c r="N149" s="506"/>
      <c r="O149" s="506"/>
      <c r="P149" s="506"/>
      <c r="Q149" s="506"/>
      <c r="R149" s="506"/>
      <c r="S149" s="506"/>
      <c r="T149" s="506"/>
      <c r="U149" s="506"/>
      <c r="V149" s="506"/>
      <c r="W149" s="507"/>
    </row>
    <row r="150" spans="1:23">
      <c r="A150" s="23" t="b">
        <v>0</v>
      </c>
      <c r="B150" s="505"/>
      <c r="C150" s="506"/>
      <c r="D150" s="506"/>
      <c r="E150" s="506"/>
      <c r="F150" s="506"/>
      <c r="G150" s="506"/>
      <c r="H150" s="506"/>
      <c r="I150" s="506"/>
      <c r="J150" s="506"/>
      <c r="K150" s="506"/>
      <c r="L150" s="506"/>
      <c r="M150" s="506"/>
      <c r="N150" s="506"/>
      <c r="O150" s="506"/>
      <c r="P150" s="506"/>
      <c r="Q150" s="506"/>
      <c r="R150" s="506"/>
      <c r="S150" s="506"/>
      <c r="T150" s="506"/>
      <c r="U150" s="506"/>
      <c r="V150" s="506"/>
      <c r="W150" s="507"/>
    </row>
    <row r="151" spans="1:23">
      <c r="B151" s="505" t="s">
        <v>500</v>
      </c>
      <c r="C151" s="506"/>
      <c r="D151" s="506"/>
      <c r="E151" s="506"/>
      <c r="F151" s="506"/>
      <c r="G151" s="506" t="s">
        <v>501</v>
      </c>
      <c r="H151" s="506"/>
      <c r="I151" s="506"/>
      <c r="J151" s="506"/>
      <c r="K151" s="506"/>
      <c r="L151" s="506"/>
      <c r="M151" s="506"/>
      <c r="N151" s="506"/>
      <c r="O151" s="506"/>
      <c r="P151" s="506"/>
      <c r="Q151" s="506"/>
      <c r="R151" s="506"/>
      <c r="S151" s="506"/>
      <c r="T151" s="506"/>
      <c r="U151" s="506"/>
      <c r="V151" s="506"/>
      <c r="W151" s="507"/>
    </row>
    <row r="152" spans="1:23">
      <c r="B152" s="505"/>
      <c r="C152" s="506"/>
      <c r="D152" s="506"/>
      <c r="E152" s="506"/>
      <c r="F152" s="506"/>
      <c r="G152" s="506" t="s">
        <v>502</v>
      </c>
      <c r="H152" s="506"/>
      <c r="I152" s="506"/>
      <c r="J152" s="506"/>
      <c r="K152" s="506"/>
      <c r="L152" s="506"/>
      <c r="M152" s="506"/>
      <c r="N152" s="506"/>
      <c r="O152" s="506"/>
      <c r="P152" s="506"/>
      <c r="Q152" s="506"/>
      <c r="R152" s="506"/>
      <c r="S152" s="506"/>
      <c r="T152" s="506"/>
      <c r="U152" s="506"/>
      <c r="V152" s="506"/>
      <c r="W152" s="507"/>
    </row>
    <row r="153" spans="1:23">
      <c r="B153" s="505"/>
      <c r="C153" s="506"/>
      <c r="D153" s="506"/>
      <c r="E153" s="506"/>
      <c r="F153" s="506"/>
      <c r="G153" s="506" t="s">
        <v>503</v>
      </c>
      <c r="H153" s="506"/>
      <c r="I153" s="506"/>
      <c r="J153" s="506"/>
      <c r="K153" s="506"/>
      <c r="L153" s="506"/>
      <c r="M153" s="506"/>
      <c r="N153" s="506"/>
      <c r="O153" s="506"/>
      <c r="P153" s="506"/>
      <c r="Q153" s="506"/>
      <c r="R153" s="506"/>
      <c r="S153" s="506"/>
      <c r="T153" s="506"/>
      <c r="U153" s="506"/>
      <c r="V153" s="506"/>
      <c r="W153" s="507"/>
    </row>
    <row r="154" spans="1:23">
      <c r="B154" s="505"/>
      <c r="C154" s="506"/>
      <c r="D154" s="506"/>
      <c r="E154" s="506"/>
      <c r="F154" s="506"/>
      <c r="G154" s="506" t="s">
        <v>504</v>
      </c>
      <c r="H154" s="506"/>
      <c r="I154" s="506"/>
      <c r="J154" s="506"/>
      <c r="K154" s="506"/>
      <c r="L154" s="506"/>
      <c r="M154" s="506"/>
      <c r="N154" s="506"/>
      <c r="O154" s="506"/>
      <c r="P154" s="506"/>
      <c r="Q154" s="506"/>
      <c r="R154" s="506"/>
      <c r="S154" s="506"/>
      <c r="T154" s="506"/>
      <c r="U154" s="506"/>
      <c r="V154" s="506"/>
      <c r="W154" s="507"/>
    </row>
    <row r="155" spans="1:23">
      <c r="B155" s="505"/>
      <c r="C155" s="506"/>
      <c r="D155" s="506"/>
      <c r="E155" s="506"/>
      <c r="F155" s="506"/>
      <c r="G155" s="506" t="s">
        <v>505</v>
      </c>
      <c r="H155" s="506"/>
      <c r="I155" s="506"/>
      <c r="J155" s="506"/>
      <c r="K155" s="506"/>
      <c r="L155" s="506" t="s">
        <v>563</v>
      </c>
      <c r="M155" s="506" t="s">
        <v>727</v>
      </c>
      <c r="N155" s="506"/>
      <c r="O155" s="506"/>
      <c r="P155" s="506"/>
      <c r="Q155" s="506"/>
      <c r="R155" s="506"/>
      <c r="S155" s="506"/>
      <c r="T155" s="506"/>
      <c r="U155" s="506"/>
      <c r="V155" s="506"/>
      <c r="W155" s="507"/>
    </row>
    <row r="156" spans="1:23">
      <c r="B156" s="505"/>
      <c r="C156" s="506"/>
      <c r="D156" s="506"/>
      <c r="E156" s="506"/>
      <c r="F156" s="506"/>
      <c r="G156" s="506" t="s">
        <v>557</v>
      </c>
      <c r="H156" s="506"/>
      <c r="I156" s="506"/>
      <c r="J156" s="506"/>
      <c r="K156" s="506"/>
      <c r="L156" s="506" t="s">
        <v>564</v>
      </c>
      <c r="M156" s="506" t="s">
        <v>727</v>
      </c>
      <c r="N156" s="506"/>
      <c r="O156" s="506"/>
      <c r="P156" s="506"/>
      <c r="Q156" s="506"/>
      <c r="R156" s="506"/>
      <c r="S156" s="506"/>
      <c r="T156" s="506"/>
      <c r="U156" s="506"/>
      <c r="V156" s="506"/>
      <c r="W156" s="507"/>
    </row>
    <row r="157" spans="1:23">
      <c r="B157" s="505"/>
      <c r="C157" s="506"/>
      <c r="D157" s="506"/>
      <c r="E157" s="506"/>
      <c r="F157" s="506"/>
      <c r="G157" s="506" t="s">
        <v>24</v>
      </c>
      <c r="H157" s="506"/>
      <c r="I157" s="506" t="s">
        <v>507</v>
      </c>
      <c r="J157" s="506"/>
      <c r="K157" s="506"/>
      <c r="L157" s="506" t="s">
        <v>565</v>
      </c>
      <c r="M157" s="506" t="s">
        <v>727</v>
      </c>
      <c r="N157" s="506"/>
      <c r="O157" s="506"/>
      <c r="P157" s="506"/>
      <c r="Q157" s="506"/>
      <c r="R157" s="506"/>
      <c r="S157" s="506"/>
      <c r="T157" s="506"/>
      <c r="U157" s="506"/>
      <c r="V157" s="506"/>
      <c r="W157" s="507"/>
    </row>
    <row r="158" spans="1:23">
      <c r="B158" s="505"/>
      <c r="C158" s="506"/>
      <c r="D158" s="506"/>
      <c r="E158" s="506"/>
      <c r="F158" s="506"/>
      <c r="G158" s="506" t="s">
        <v>545</v>
      </c>
      <c r="H158" s="506" t="s">
        <v>546</v>
      </c>
      <c r="I158" s="506" t="s">
        <v>547</v>
      </c>
      <c r="J158" s="506" t="s">
        <v>548</v>
      </c>
      <c r="K158" s="506"/>
      <c r="L158" s="506" t="s">
        <v>566</v>
      </c>
      <c r="M158" s="506" t="s">
        <v>727</v>
      </c>
      <c r="N158" s="506"/>
      <c r="O158" s="506"/>
      <c r="P158" s="506"/>
      <c r="Q158" s="506"/>
      <c r="R158" s="506"/>
      <c r="S158" s="506"/>
      <c r="T158" s="506"/>
      <c r="U158" s="506"/>
      <c r="V158" s="506"/>
      <c r="W158" s="507"/>
    </row>
    <row r="159" spans="1:23">
      <c r="B159" s="505" t="s">
        <v>506</v>
      </c>
      <c r="C159" s="506"/>
      <c r="D159" s="506"/>
      <c r="E159" s="506"/>
      <c r="F159" s="506"/>
      <c r="G159" s="506" t="s">
        <v>508</v>
      </c>
      <c r="H159" s="506"/>
      <c r="I159" s="506"/>
      <c r="J159" s="506"/>
      <c r="K159" s="506"/>
      <c r="L159" s="506" t="s">
        <v>621</v>
      </c>
      <c r="M159" s="506" t="s">
        <v>727</v>
      </c>
      <c r="N159" s="506"/>
      <c r="O159" s="506"/>
      <c r="P159" s="506"/>
      <c r="Q159" s="506"/>
      <c r="R159" s="506"/>
      <c r="S159" s="506"/>
      <c r="T159" s="506"/>
      <c r="U159" s="506"/>
      <c r="V159" s="506"/>
      <c r="W159" s="507"/>
    </row>
    <row r="160" spans="1:23">
      <c r="B160" s="505"/>
      <c r="C160" s="506"/>
      <c r="D160" s="506"/>
      <c r="E160" s="506"/>
      <c r="F160" s="506"/>
      <c r="G160" s="506"/>
      <c r="H160" s="506"/>
      <c r="I160" s="506"/>
      <c r="J160" s="506"/>
      <c r="K160" s="506"/>
      <c r="L160" s="506"/>
      <c r="M160" s="506"/>
      <c r="N160" s="506"/>
      <c r="O160" s="506"/>
      <c r="P160" s="506"/>
      <c r="Q160" s="506"/>
      <c r="R160" s="506"/>
      <c r="S160" s="506"/>
      <c r="T160" s="506"/>
      <c r="U160" s="506"/>
      <c r="V160" s="506"/>
      <c r="W160" s="507"/>
    </row>
    <row r="161" spans="2:23">
      <c r="B161" s="505">
        <v>0</v>
      </c>
      <c r="C161" s="506" t="s">
        <v>509</v>
      </c>
      <c r="D161" s="506"/>
      <c r="E161" s="506"/>
      <c r="F161" s="506"/>
      <c r="G161" s="506"/>
      <c r="H161" s="506"/>
      <c r="I161" s="506"/>
      <c r="J161" s="506"/>
      <c r="K161" s="506"/>
      <c r="L161" s="506">
        <v>0</v>
      </c>
      <c r="M161" s="506" t="s">
        <v>14</v>
      </c>
      <c r="N161" s="506"/>
      <c r="O161" s="506"/>
      <c r="P161" s="506"/>
      <c r="Q161" s="506"/>
      <c r="R161" s="506">
        <v>0</v>
      </c>
      <c r="S161" s="506" t="s">
        <v>19</v>
      </c>
      <c r="T161" s="506"/>
      <c r="U161" s="506"/>
      <c r="V161" s="506"/>
      <c r="W161" s="507"/>
    </row>
    <row r="162" spans="2:23">
      <c r="B162" s="505"/>
      <c r="C162" s="506"/>
      <c r="D162" s="506"/>
      <c r="E162" s="506"/>
      <c r="F162" s="506"/>
      <c r="G162" s="506"/>
      <c r="H162" s="506"/>
      <c r="I162" s="506"/>
      <c r="J162" s="506"/>
      <c r="K162" s="506"/>
      <c r="L162" s="506"/>
      <c r="M162" s="506"/>
      <c r="N162" s="506"/>
      <c r="O162" s="506"/>
      <c r="P162" s="506"/>
      <c r="Q162" s="506"/>
      <c r="R162" s="506"/>
      <c r="S162" s="506"/>
      <c r="T162" s="506"/>
      <c r="U162" s="506"/>
      <c r="V162" s="506"/>
      <c r="W162" s="507"/>
    </row>
    <row r="163" spans="2:23">
      <c r="B163" s="505" t="s">
        <v>510</v>
      </c>
      <c r="C163" s="506"/>
      <c r="D163" s="506"/>
      <c r="E163" s="506"/>
      <c r="F163" s="506"/>
      <c r="G163" s="506"/>
      <c r="H163" s="506"/>
      <c r="I163" s="506"/>
      <c r="J163" s="506"/>
      <c r="K163" s="506"/>
      <c r="L163" s="506"/>
      <c r="M163" s="506"/>
      <c r="N163" s="506"/>
      <c r="O163" s="506"/>
      <c r="P163" s="506"/>
      <c r="Q163" s="506"/>
      <c r="R163" s="506"/>
      <c r="S163" s="506"/>
      <c r="T163" s="506"/>
      <c r="U163" s="506"/>
      <c r="V163" s="506"/>
      <c r="W163" s="507"/>
    </row>
    <row r="164" spans="2:23">
      <c r="B164" s="505"/>
      <c r="C164" s="506"/>
      <c r="D164" s="506"/>
      <c r="E164" s="506"/>
      <c r="F164" s="506"/>
      <c r="G164" s="506"/>
      <c r="H164" s="506"/>
      <c r="I164" s="506"/>
      <c r="J164" s="506"/>
      <c r="K164" s="506"/>
      <c r="L164" s="506"/>
      <c r="M164" s="506"/>
      <c r="N164" s="506"/>
      <c r="O164" s="506"/>
      <c r="P164" s="506"/>
      <c r="Q164" s="506"/>
      <c r="R164" s="506"/>
      <c r="S164" s="506"/>
      <c r="T164" s="506"/>
      <c r="U164" s="506"/>
      <c r="V164" s="506"/>
      <c r="W164" s="507"/>
    </row>
    <row r="165" spans="2:23">
      <c r="B165" s="505"/>
      <c r="C165" s="506"/>
      <c r="D165" s="506"/>
      <c r="E165" s="506"/>
      <c r="F165" s="506"/>
      <c r="G165" s="506"/>
      <c r="H165" s="506"/>
      <c r="I165" s="506"/>
      <c r="J165" s="506"/>
      <c r="K165" s="506"/>
      <c r="L165" s="506"/>
      <c r="M165" s="506"/>
      <c r="N165" s="506"/>
      <c r="O165" s="506"/>
      <c r="P165" s="506"/>
      <c r="Q165" s="506"/>
      <c r="R165" s="506"/>
      <c r="S165" s="506"/>
      <c r="T165" s="506"/>
      <c r="U165" s="506"/>
      <c r="V165" s="506"/>
      <c r="W165" s="507"/>
    </row>
    <row r="166" spans="2:23">
      <c r="B166" s="505">
        <v>0</v>
      </c>
      <c r="C166" s="506" t="s">
        <v>511</v>
      </c>
      <c r="D166" s="506"/>
      <c r="E166" s="506"/>
      <c r="F166" s="506"/>
      <c r="G166" s="506" t="s">
        <v>512</v>
      </c>
      <c r="H166" s="506" t="s">
        <v>729</v>
      </c>
      <c r="I166" s="506" t="s">
        <v>513</v>
      </c>
      <c r="J166" s="506"/>
      <c r="K166" s="506"/>
      <c r="L166" s="506"/>
      <c r="M166" s="506"/>
      <c r="N166" s="506"/>
      <c r="O166" s="506"/>
      <c r="P166" s="506"/>
      <c r="Q166" s="506"/>
      <c r="R166" s="506"/>
      <c r="S166" s="506"/>
      <c r="T166" s="506"/>
      <c r="U166" s="506"/>
      <c r="V166" s="506"/>
      <c r="W166" s="507"/>
    </row>
    <row r="167" spans="2:23">
      <c r="B167" s="505" t="s">
        <v>514</v>
      </c>
      <c r="C167" s="506"/>
      <c r="D167" s="506" t="s">
        <v>515</v>
      </c>
      <c r="E167" s="506" t="s">
        <v>189</v>
      </c>
      <c r="F167" s="506" t="s">
        <v>516</v>
      </c>
      <c r="G167" s="506" t="s">
        <v>517</v>
      </c>
      <c r="H167" s="506"/>
      <c r="I167" s="506"/>
      <c r="J167" s="506"/>
      <c r="K167" s="506"/>
      <c r="L167" s="506"/>
      <c r="M167" s="506"/>
      <c r="N167" s="506"/>
      <c r="O167" s="506"/>
      <c r="P167" s="506"/>
      <c r="Q167" s="506"/>
      <c r="R167" s="506"/>
      <c r="S167" s="506"/>
      <c r="T167" s="506"/>
      <c r="U167" s="506"/>
      <c r="V167" s="506"/>
      <c r="W167" s="507"/>
    </row>
    <row r="168" spans="2:23">
      <c r="B168" s="505"/>
      <c r="C168" s="506"/>
      <c r="D168" s="506" t="s">
        <v>518</v>
      </c>
      <c r="E168" s="506">
        <v>0</v>
      </c>
      <c r="F168" s="506">
        <v>0</v>
      </c>
      <c r="G168" s="506"/>
      <c r="H168" s="506"/>
      <c r="I168" s="506"/>
      <c r="J168" s="506"/>
      <c r="K168" s="506"/>
      <c r="L168" s="506"/>
      <c r="M168" s="506"/>
      <c r="N168" s="506"/>
      <c r="O168" s="506"/>
      <c r="P168" s="506"/>
      <c r="Q168" s="506"/>
      <c r="R168" s="506"/>
      <c r="S168" s="506"/>
      <c r="T168" s="506"/>
      <c r="U168" s="506"/>
      <c r="V168" s="506"/>
      <c r="W168" s="507"/>
    </row>
    <row r="169" spans="2:23">
      <c r="B169" s="505"/>
      <c r="C169" s="506"/>
      <c r="D169" s="506" t="s">
        <v>616</v>
      </c>
      <c r="E169" s="506">
        <v>0</v>
      </c>
      <c r="F169" s="506">
        <v>0</v>
      </c>
      <c r="G169" s="506"/>
      <c r="H169" s="506"/>
      <c r="I169" s="506"/>
      <c r="J169" s="506"/>
      <c r="K169" s="506"/>
      <c r="L169" s="506"/>
      <c r="M169" s="506"/>
      <c r="N169" s="506"/>
      <c r="O169" s="506"/>
      <c r="P169" s="506"/>
      <c r="Q169" s="506"/>
      <c r="R169" s="506"/>
      <c r="S169" s="506" t="s">
        <v>20</v>
      </c>
      <c r="T169" s="506"/>
      <c r="U169" s="506"/>
      <c r="V169" s="506"/>
      <c r="W169" s="507"/>
    </row>
    <row r="170" spans="2:23">
      <c r="B170" s="505"/>
      <c r="C170" s="506"/>
      <c r="D170" s="506" t="s">
        <v>508</v>
      </c>
      <c r="E170" s="506">
        <v>0</v>
      </c>
      <c r="F170" s="506">
        <v>0</v>
      </c>
      <c r="G170" s="506"/>
      <c r="H170" s="506"/>
      <c r="I170" s="506"/>
      <c r="J170" s="506"/>
      <c r="K170" s="506"/>
      <c r="L170" s="506"/>
      <c r="M170" s="506"/>
      <c r="N170" s="506"/>
      <c r="O170" s="506"/>
      <c r="P170" s="506"/>
      <c r="Q170" s="506"/>
      <c r="R170" s="506">
        <v>0</v>
      </c>
      <c r="S170" s="506" t="s">
        <v>604</v>
      </c>
      <c r="T170" s="506"/>
      <c r="U170" s="506"/>
      <c r="V170" s="506"/>
      <c r="W170" s="507"/>
    </row>
    <row r="171" spans="2:23">
      <c r="B171" s="505" t="s">
        <v>192</v>
      </c>
      <c r="C171" s="506"/>
      <c r="D171" s="506" t="s">
        <v>519</v>
      </c>
      <c r="E171" s="506"/>
      <c r="F171" s="506"/>
      <c r="G171" s="506" t="s">
        <v>6</v>
      </c>
      <c r="H171" s="506"/>
      <c r="I171" s="506" t="s">
        <v>7</v>
      </c>
      <c r="J171" s="506"/>
      <c r="K171" s="506"/>
      <c r="L171" s="506" t="s">
        <v>559</v>
      </c>
      <c r="M171" s="506" t="s">
        <v>727</v>
      </c>
      <c r="N171" s="506"/>
      <c r="O171" s="506"/>
      <c r="P171" s="506"/>
      <c r="Q171" s="506"/>
      <c r="R171" s="506" t="s">
        <v>21</v>
      </c>
      <c r="S171" s="506"/>
      <c r="T171" s="506" t="s">
        <v>22</v>
      </c>
      <c r="U171" s="506" t="s">
        <v>18</v>
      </c>
      <c r="V171" s="506" t="s">
        <v>323</v>
      </c>
      <c r="W171" s="507" t="s">
        <v>596</v>
      </c>
    </row>
    <row r="172" spans="2:23">
      <c r="B172" s="505" t="s">
        <v>8</v>
      </c>
      <c r="C172" s="506"/>
      <c r="D172" s="506"/>
      <c r="E172" s="506"/>
      <c r="F172" s="506"/>
      <c r="G172" s="506"/>
      <c r="H172" s="506"/>
      <c r="I172" s="506"/>
      <c r="J172" s="506"/>
      <c r="K172" s="506"/>
      <c r="L172" s="506" t="s">
        <v>560</v>
      </c>
      <c r="M172" s="506" t="s">
        <v>727</v>
      </c>
      <c r="N172" s="506"/>
      <c r="O172" s="506"/>
      <c r="P172" s="506"/>
      <c r="Q172" s="506"/>
      <c r="R172" s="506"/>
      <c r="S172" s="506"/>
      <c r="T172" s="506"/>
      <c r="U172" s="506"/>
      <c r="V172" s="506"/>
      <c r="W172" s="507"/>
    </row>
    <row r="173" spans="2:23">
      <c r="B173" s="505"/>
      <c r="C173" s="506"/>
      <c r="D173" s="506"/>
      <c r="E173" s="506"/>
      <c r="F173" s="506"/>
      <c r="G173" s="506"/>
      <c r="H173" s="506"/>
      <c r="I173" s="506"/>
      <c r="J173" s="506"/>
      <c r="K173" s="506"/>
      <c r="L173" s="506" t="s">
        <v>561</v>
      </c>
      <c r="M173" s="506" t="s">
        <v>727</v>
      </c>
      <c r="N173" s="506"/>
      <c r="O173" s="506"/>
      <c r="P173" s="506"/>
      <c r="Q173" s="506"/>
      <c r="R173" s="506"/>
      <c r="S173" s="506"/>
      <c r="T173" s="506"/>
      <c r="U173" s="506"/>
      <c r="V173" s="506"/>
      <c r="W173" s="507"/>
    </row>
    <row r="174" spans="2:23">
      <c r="B174" s="505"/>
      <c r="C174" s="506"/>
      <c r="D174" s="506"/>
      <c r="E174" s="506"/>
      <c r="F174" s="506"/>
      <c r="G174" s="506"/>
      <c r="H174" s="506"/>
      <c r="I174" s="506"/>
      <c r="J174" s="506"/>
      <c r="K174" s="506"/>
      <c r="L174" s="506" t="s">
        <v>562</v>
      </c>
      <c r="M174" s="506" t="s">
        <v>727</v>
      </c>
      <c r="N174" s="506"/>
      <c r="O174" s="506"/>
      <c r="P174" s="506"/>
      <c r="Q174" s="506"/>
      <c r="R174" s="506"/>
      <c r="S174" s="506"/>
      <c r="T174" s="506"/>
      <c r="U174" s="506"/>
      <c r="V174" s="506"/>
      <c r="W174" s="507"/>
    </row>
    <row r="175" spans="2:23">
      <c r="B175" s="505"/>
      <c r="C175" s="506"/>
      <c r="D175" s="506"/>
      <c r="E175" s="506"/>
      <c r="F175" s="506"/>
      <c r="G175" s="506"/>
      <c r="H175" s="506"/>
      <c r="I175" s="506"/>
      <c r="J175" s="506"/>
      <c r="K175" s="506"/>
      <c r="L175" s="506" t="s">
        <v>620</v>
      </c>
      <c r="M175" s="506" t="s">
        <v>727</v>
      </c>
      <c r="N175" s="506"/>
      <c r="O175" s="506"/>
      <c r="P175" s="506"/>
      <c r="Q175" s="506"/>
      <c r="R175" s="506"/>
      <c r="S175" s="506"/>
      <c r="T175" s="506"/>
      <c r="U175" s="506"/>
      <c r="V175" s="506"/>
      <c r="W175" s="507"/>
    </row>
    <row r="176" spans="2:23">
      <c r="B176" s="505"/>
      <c r="C176" s="506"/>
      <c r="D176" s="506"/>
      <c r="E176" s="506"/>
      <c r="F176" s="506"/>
      <c r="G176" s="506"/>
      <c r="H176" s="506"/>
      <c r="I176" s="506"/>
      <c r="J176" s="506"/>
      <c r="K176" s="506"/>
      <c r="L176" s="506" t="s">
        <v>456</v>
      </c>
      <c r="M176" s="506"/>
      <c r="N176" s="506"/>
      <c r="O176" s="506"/>
      <c r="P176" s="506"/>
      <c r="Q176" s="506"/>
      <c r="R176" s="506"/>
      <c r="S176" s="506"/>
      <c r="T176" s="506" t="s">
        <v>261</v>
      </c>
      <c r="U176" s="506" t="s">
        <v>316</v>
      </c>
      <c r="V176" s="506" t="s">
        <v>317</v>
      </c>
      <c r="W176" s="507" t="s">
        <v>318</v>
      </c>
    </row>
    <row r="177" spans="2:23">
      <c r="B177" s="505"/>
      <c r="C177" s="506"/>
      <c r="D177" s="506"/>
      <c r="E177" s="506"/>
      <c r="F177" s="506"/>
      <c r="G177" s="506"/>
      <c r="H177" s="506"/>
      <c r="I177" s="506"/>
      <c r="J177" s="506"/>
      <c r="K177" s="506"/>
      <c r="L177" s="506"/>
      <c r="M177" s="506"/>
      <c r="N177" s="506"/>
      <c r="O177" s="506"/>
      <c r="P177" s="506"/>
      <c r="Q177" s="506"/>
      <c r="R177" s="506"/>
      <c r="S177" s="506"/>
      <c r="T177" s="506">
        <v>0</v>
      </c>
      <c r="U177" s="506"/>
      <c r="V177" s="506"/>
      <c r="W177" s="507"/>
    </row>
    <row r="178" spans="2:23">
      <c r="B178" s="505"/>
      <c r="C178" s="506"/>
      <c r="D178" s="506"/>
      <c r="E178" s="506"/>
      <c r="F178" s="506"/>
      <c r="G178" s="506"/>
      <c r="H178" s="506"/>
      <c r="I178" s="506"/>
      <c r="J178" s="506"/>
      <c r="K178" s="506"/>
      <c r="L178" s="506"/>
      <c r="M178" s="506"/>
      <c r="N178" s="506"/>
      <c r="O178" s="506"/>
      <c r="P178" s="506"/>
      <c r="Q178" s="506"/>
      <c r="R178" s="506"/>
      <c r="S178" s="506"/>
      <c r="T178" s="506"/>
      <c r="U178" s="506"/>
      <c r="V178" s="506"/>
      <c r="W178" s="507"/>
    </row>
    <row r="179" spans="2:23" ht="12.75" thickBot="1">
      <c r="B179" s="508" t="s">
        <v>9</v>
      </c>
      <c r="C179" s="509"/>
      <c r="D179" s="509"/>
      <c r="E179" s="509"/>
      <c r="F179" s="509"/>
      <c r="G179" s="509" t="s">
        <v>10</v>
      </c>
      <c r="H179" s="509"/>
      <c r="I179" s="509"/>
      <c r="J179" s="509"/>
      <c r="K179" s="509"/>
      <c r="L179" s="509" t="s">
        <v>11</v>
      </c>
      <c r="M179" s="509"/>
      <c r="N179" s="509">
        <v>0</v>
      </c>
      <c r="O179" s="509" t="s">
        <v>12</v>
      </c>
      <c r="P179" s="509"/>
      <c r="Q179" s="509"/>
      <c r="R179" s="509" t="s">
        <v>23</v>
      </c>
      <c r="S179" s="509"/>
      <c r="T179" s="509"/>
      <c r="U179" s="509">
        <v>10</v>
      </c>
      <c r="V179" s="509"/>
      <c r="W179" s="510"/>
    </row>
    <row r="181" spans="2:23" ht="12.75" thickBot="1"/>
    <row r="182" spans="2:23">
      <c r="B182" s="502">
        <v>0</v>
      </c>
      <c r="C182" s="503" t="s">
        <v>354</v>
      </c>
      <c r="D182" s="503"/>
      <c r="E182" s="503"/>
      <c r="F182" s="503"/>
      <c r="G182" s="503"/>
      <c r="H182" s="503"/>
      <c r="I182" s="503"/>
      <c r="J182" s="503"/>
      <c r="K182" s="503"/>
      <c r="L182" s="503">
        <v>0</v>
      </c>
      <c r="M182" s="503" t="s">
        <v>391</v>
      </c>
      <c r="N182" s="503"/>
      <c r="O182" s="503"/>
      <c r="P182" s="503"/>
      <c r="Q182" s="503"/>
      <c r="R182" s="503">
        <v>0</v>
      </c>
      <c r="S182" s="503" t="s">
        <v>431</v>
      </c>
      <c r="T182" s="503"/>
      <c r="U182" s="503"/>
      <c r="V182" s="503"/>
      <c r="W182" s="504"/>
    </row>
    <row r="183" spans="2:23">
      <c r="B183" s="505" t="s">
        <v>896</v>
      </c>
      <c r="C183" s="506"/>
      <c r="D183" s="506"/>
      <c r="E183" s="506"/>
      <c r="F183" s="506"/>
      <c r="G183" s="506"/>
      <c r="H183" s="506"/>
      <c r="I183" s="506"/>
      <c r="J183" s="506"/>
      <c r="K183" s="506"/>
      <c r="L183" s="506"/>
      <c r="M183" s="506"/>
      <c r="N183" s="506"/>
      <c r="O183" s="506"/>
      <c r="P183" s="506"/>
      <c r="Q183" s="506"/>
      <c r="R183" s="506" t="s">
        <v>393</v>
      </c>
      <c r="S183" s="506"/>
      <c r="T183" s="506" t="s">
        <v>394</v>
      </c>
      <c r="U183" s="506" t="s">
        <v>395</v>
      </c>
      <c r="V183" s="506" t="s">
        <v>432</v>
      </c>
      <c r="W183" s="507" t="s">
        <v>433</v>
      </c>
    </row>
    <row r="184" spans="2:23">
      <c r="B184" s="505" t="s">
        <v>473</v>
      </c>
      <c r="C184" s="506"/>
      <c r="D184" s="506" t="s">
        <v>265</v>
      </c>
      <c r="E184" s="506" t="s">
        <v>355</v>
      </c>
      <c r="F184" s="506"/>
      <c r="G184" s="506" t="s">
        <v>356</v>
      </c>
      <c r="H184" s="506"/>
      <c r="I184" s="506" t="s">
        <v>358</v>
      </c>
      <c r="J184" s="506"/>
      <c r="K184" s="506"/>
      <c r="L184" s="506"/>
      <c r="M184" s="506"/>
      <c r="N184" s="506"/>
      <c r="O184" s="506"/>
      <c r="P184" s="506"/>
      <c r="Q184" s="506"/>
      <c r="R184" s="506"/>
      <c r="S184" s="506"/>
      <c r="T184" s="506"/>
      <c r="U184" s="506"/>
      <c r="V184" s="506"/>
      <c r="W184" s="507"/>
    </row>
    <row r="185" spans="2:23">
      <c r="B185" s="505"/>
      <c r="C185" s="506"/>
      <c r="D185" s="506"/>
      <c r="E185" s="506"/>
      <c r="F185" s="506"/>
      <c r="G185" s="506"/>
      <c r="H185" s="506"/>
      <c r="I185" s="506"/>
      <c r="J185" s="506"/>
      <c r="K185" s="506"/>
      <c r="L185" s="506"/>
      <c r="M185" s="506"/>
      <c r="N185" s="506"/>
      <c r="O185" s="506"/>
      <c r="P185" s="506"/>
      <c r="Q185" s="506"/>
      <c r="R185" s="506"/>
      <c r="S185" s="506"/>
      <c r="T185" s="506"/>
      <c r="U185" s="506"/>
      <c r="V185" s="506"/>
      <c r="W185" s="507"/>
    </row>
    <row r="186" spans="2:23">
      <c r="B186" s="505"/>
      <c r="C186" s="506"/>
      <c r="D186" s="506"/>
      <c r="E186" s="506"/>
      <c r="F186" s="506"/>
      <c r="G186" s="506"/>
      <c r="H186" s="506"/>
      <c r="I186" s="506"/>
      <c r="J186" s="506"/>
      <c r="K186" s="506"/>
      <c r="L186" s="506"/>
      <c r="M186" s="506"/>
      <c r="N186" s="506"/>
      <c r="O186" s="506"/>
      <c r="P186" s="506"/>
      <c r="Q186" s="506"/>
      <c r="R186" s="506"/>
      <c r="S186" s="506"/>
      <c r="T186" s="506"/>
      <c r="U186" s="506"/>
      <c r="V186" s="506"/>
      <c r="W186" s="507"/>
    </row>
    <row r="187" spans="2:23">
      <c r="B187" s="505" t="s">
        <v>732</v>
      </c>
      <c r="C187" s="506"/>
      <c r="D187" s="506"/>
      <c r="E187" s="506"/>
      <c r="F187" s="506"/>
      <c r="G187" s="506" t="s">
        <v>664</v>
      </c>
      <c r="H187" s="506"/>
      <c r="I187" s="506"/>
      <c r="J187" s="506"/>
      <c r="K187" s="506"/>
      <c r="L187" s="506"/>
      <c r="M187" s="506"/>
      <c r="N187" s="506"/>
      <c r="O187" s="506"/>
      <c r="P187" s="506"/>
      <c r="Q187" s="506"/>
      <c r="R187" s="506"/>
      <c r="S187" s="506"/>
      <c r="T187" s="506"/>
      <c r="U187" s="506"/>
      <c r="V187" s="506"/>
      <c r="W187" s="507"/>
    </row>
    <row r="188" spans="2:23">
      <c r="B188" s="505"/>
      <c r="C188" s="506"/>
      <c r="D188" s="506"/>
      <c r="E188" s="506"/>
      <c r="F188" s="506"/>
      <c r="G188" s="506" t="s">
        <v>661</v>
      </c>
      <c r="H188" s="506"/>
      <c r="I188" s="506"/>
      <c r="J188" s="506"/>
      <c r="K188" s="506"/>
      <c r="L188" s="506"/>
      <c r="M188" s="506"/>
      <c r="N188" s="506"/>
      <c r="O188" s="506"/>
      <c r="P188" s="506"/>
      <c r="Q188" s="506"/>
      <c r="R188" s="506"/>
      <c r="S188" s="506"/>
      <c r="T188" s="506"/>
      <c r="U188" s="506"/>
      <c r="V188" s="506"/>
      <c r="W188" s="507"/>
    </row>
    <row r="189" spans="2:23">
      <c r="B189" s="505"/>
      <c r="C189" s="506"/>
      <c r="D189" s="506"/>
      <c r="E189" s="506"/>
      <c r="F189" s="506"/>
      <c r="G189" s="506" t="s">
        <v>662</v>
      </c>
      <c r="H189" s="506"/>
      <c r="I189" s="506"/>
      <c r="J189" s="506"/>
      <c r="K189" s="506"/>
      <c r="L189" s="506"/>
      <c r="M189" s="506"/>
      <c r="N189" s="506"/>
      <c r="O189" s="506"/>
      <c r="P189" s="506"/>
      <c r="Q189" s="506"/>
      <c r="R189" s="506"/>
      <c r="S189" s="506"/>
      <c r="T189" s="506"/>
      <c r="U189" s="506"/>
      <c r="V189" s="506"/>
      <c r="W189" s="507"/>
    </row>
    <row r="190" spans="2:23">
      <c r="B190" s="505"/>
      <c r="C190" s="506"/>
      <c r="D190" s="506"/>
      <c r="E190" s="506"/>
      <c r="F190" s="506"/>
      <c r="G190" s="506" t="s">
        <v>665</v>
      </c>
      <c r="H190" s="506"/>
      <c r="I190" s="506"/>
      <c r="J190" s="506"/>
      <c r="K190" s="506"/>
      <c r="L190" s="506"/>
      <c r="M190" s="506"/>
      <c r="N190" s="506"/>
      <c r="O190" s="506"/>
      <c r="P190" s="506"/>
      <c r="Q190" s="506"/>
      <c r="R190" s="506"/>
      <c r="S190" s="506"/>
      <c r="T190" s="506"/>
      <c r="U190" s="506"/>
      <c r="V190" s="506"/>
      <c r="W190" s="507"/>
    </row>
    <row r="191" spans="2:23">
      <c r="B191" s="505"/>
      <c r="C191" s="506"/>
      <c r="D191" s="506"/>
      <c r="E191" s="506"/>
      <c r="F191" s="506"/>
      <c r="G191" s="506" t="s">
        <v>76</v>
      </c>
      <c r="H191" s="506"/>
      <c r="I191" s="506"/>
      <c r="J191" s="506"/>
      <c r="K191" s="506"/>
      <c r="L191" s="506" t="s">
        <v>571</v>
      </c>
      <c r="M191" s="506" t="s">
        <v>727</v>
      </c>
      <c r="N191" s="506"/>
      <c r="O191" s="506"/>
      <c r="P191" s="506"/>
      <c r="Q191" s="506"/>
      <c r="R191" s="506"/>
      <c r="S191" s="506"/>
      <c r="T191" s="506"/>
      <c r="U191" s="506"/>
      <c r="V191" s="506"/>
      <c r="W191" s="507"/>
    </row>
    <row r="192" spans="2:23">
      <c r="B192" s="505"/>
      <c r="C192" s="506"/>
      <c r="D192" s="506"/>
      <c r="E192" s="506"/>
      <c r="F192" s="506"/>
      <c r="G192" s="506" t="s">
        <v>663</v>
      </c>
      <c r="H192" s="506"/>
      <c r="I192" s="506"/>
      <c r="J192" s="506"/>
      <c r="K192" s="506"/>
      <c r="L192" s="506" t="s">
        <v>572</v>
      </c>
      <c r="M192" s="506" t="s">
        <v>727</v>
      </c>
      <c r="N192" s="506"/>
      <c r="O192" s="506"/>
      <c r="P192" s="506"/>
      <c r="Q192" s="506"/>
      <c r="R192" s="506"/>
      <c r="S192" s="506"/>
      <c r="T192" s="506"/>
      <c r="U192" s="506"/>
      <c r="V192" s="506"/>
      <c r="W192" s="507"/>
    </row>
    <row r="193" spans="1:23">
      <c r="B193" s="505"/>
      <c r="C193" s="506"/>
      <c r="D193" s="506"/>
      <c r="E193" s="506"/>
      <c r="F193" s="506"/>
      <c r="G193" s="506" t="s">
        <v>423</v>
      </c>
      <c r="H193" s="506"/>
      <c r="I193" s="506" t="s">
        <v>255</v>
      </c>
      <c r="J193" s="506"/>
      <c r="K193" s="506"/>
      <c r="L193" s="506" t="s">
        <v>573</v>
      </c>
      <c r="M193" s="506" t="s">
        <v>727</v>
      </c>
      <c r="N193" s="506"/>
      <c r="O193" s="506"/>
      <c r="P193" s="506"/>
      <c r="Q193" s="506"/>
      <c r="R193" s="506"/>
      <c r="S193" s="506"/>
      <c r="T193" s="506"/>
      <c r="U193" s="506"/>
      <c r="V193" s="506"/>
      <c r="W193" s="507"/>
    </row>
    <row r="194" spans="1:23">
      <c r="B194" s="505"/>
      <c r="C194" s="506"/>
      <c r="D194" s="506"/>
      <c r="E194" s="506"/>
      <c r="F194" s="506"/>
      <c r="G194" s="506" t="s">
        <v>549</v>
      </c>
      <c r="H194" s="506" t="s">
        <v>550</v>
      </c>
      <c r="I194" s="506" t="s">
        <v>551</v>
      </c>
      <c r="J194" s="506" t="s">
        <v>552</v>
      </c>
      <c r="K194" s="506"/>
      <c r="L194" s="506" t="s">
        <v>574</v>
      </c>
      <c r="M194" s="506" t="s">
        <v>727</v>
      </c>
      <c r="N194" s="506"/>
      <c r="O194" s="506"/>
      <c r="P194" s="506"/>
      <c r="Q194" s="506"/>
      <c r="R194" s="506"/>
      <c r="S194" s="506"/>
      <c r="T194" s="506"/>
      <c r="U194" s="506"/>
      <c r="V194" s="506"/>
      <c r="W194" s="507"/>
    </row>
    <row r="195" spans="1:23">
      <c r="B195" s="505" t="s">
        <v>357</v>
      </c>
      <c r="C195" s="506"/>
      <c r="D195" s="506"/>
      <c r="E195" s="506"/>
      <c r="F195" s="506"/>
      <c r="G195" s="506" t="s">
        <v>494</v>
      </c>
      <c r="H195" s="506"/>
      <c r="I195" s="506"/>
      <c r="J195" s="506"/>
      <c r="K195" s="506"/>
      <c r="L195" s="506" t="s">
        <v>622</v>
      </c>
      <c r="M195" s="506" t="s">
        <v>727</v>
      </c>
      <c r="N195" s="506"/>
      <c r="O195" s="506"/>
      <c r="P195" s="506"/>
      <c r="Q195" s="506"/>
      <c r="R195" s="506"/>
      <c r="S195" s="506"/>
      <c r="T195" s="506"/>
      <c r="U195" s="506"/>
      <c r="V195" s="506"/>
      <c r="W195" s="507"/>
    </row>
    <row r="196" spans="1:23">
      <c r="B196" s="505"/>
      <c r="C196" s="506"/>
      <c r="D196" s="506"/>
      <c r="E196" s="506"/>
      <c r="F196" s="506"/>
      <c r="G196" s="506"/>
      <c r="H196" s="506"/>
      <c r="I196" s="506"/>
      <c r="J196" s="506"/>
      <c r="K196" s="506"/>
      <c r="L196" s="506"/>
      <c r="M196" s="506"/>
      <c r="N196" s="506"/>
      <c r="O196" s="506"/>
      <c r="P196" s="506"/>
      <c r="Q196" s="506"/>
      <c r="R196" s="506"/>
      <c r="S196" s="506"/>
      <c r="T196" s="506"/>
      <c r="U196" s="506"/>
      <c r="V196" s="506"/>
      <c r="W196" s="507"/>
    </row>
    <row r="197" spans="1:23">
      <c r="B197" s="505">
        <v>0</v>
      </c>
      <c r="C197" s="506" t="s">
        <v>360</v>
      </c>
      <c r="D197" s="506"/>
      <c r="E197" s="506"/>
      <c r="F197" s="506"/>
      <c r="G197" s="506"/>
      <c r="H197" s="506"/>
      <c r="I197" s="506"/>
      <c r="J197" s="506"/>
      <c r="K197" s="506"/>
      <c r="L197" s="506">
        <v>0</v>
      </c>
      <c r="M197" s="506" t="s">
        <v>392</v>
      </c>
      <c r="N197" s="506"/>
      <c r="O197" s="506"/>
      <c r="P197" s="506"/>
      <c r="Q197" s="506"/>
      <c r="R197" s="506">
        <v>0</v>
      </c>
      <c r="S197" s="506" t="s">
        <v>398</v>
      </c>
      <c r="T197" s="506"/>
      <c r="U197" s="506"/>
      <c r="V197" s="506"/>
      <c r="W197" s="507"/>
    </row>
    <row r="198" spans="1:23">
      <c r="B198" s="505"/>
      <c r="C198" s="506"/>
      <c r="D198" s="506"/>
      <c r="E198" s="506"/>
      <c r="F198" s="506"/>
      <c r="G198" s="506"/>
      <c r="H198" s="506"/>
      <c r="I198" s="506"/>
      <c r="J198" s="506"/>
      <c r="K198" s="506"/>
      <c r="L198" s="506"/>
      <c r="M198" s="506"/>
      <c r="N198" s="506"/>
      <c r="O198" s="506"/>
      <c r="P198" s="506"/>
      <c r="Q198" s="506"/>
      <c r="R198" s="506"/>
      <c r="S198" s="506"/>
      <c r="T198" s="506"/>
      <c r="U198" s="506"/>
      <c r="V198" s="506"/>
      <c r="W198" s="507"/>
    </row>
    <row r="199" spans="1:23">
      <c r="B199" s="505" t="s">
        <v>424</v>
      </c>
      <c r="C199" s="506"/>
      <c r="D199" s="506"/>
      <c r="E199" s="506"/>
      <c r="F199" s="506"/>
      <c r="G199" s="506"/>
      <c r="H199" s="506"/>
      <c r="I199" s="506"/>
      <c r="J199" s="506"/>
      <c r="K199" s="506"/>
      <c r="L199" s="506"/>
      <c r="M199" s="506"/>
      <c r="N199" s="506"/>
      <c r="O199" s="506"/>
      <c r="P199" s="506"/>
      <c r="Q199" s="506"/>
      <c r="R199" s="506"/>
      <c r="S199" s="506"/>
      <c r="T199" s="506"/>
      <c r="U199" s="506"/>
      <c r="V199" s="506"/>
      <c r="W199" s="507"/>
    </row>
    <row r="200" spans="1:23">
      <c r="B200" s="505"/>
      <c r="C200" s="506"/>
      <c r="D200" s="506"/>
      <c r="E200" s="506"/>
      <c r="F200" s="506"/>
      <c r="G200" s="506"/>
      <c r="H200" s="506"/>
      <c r="I200" s="506"/>
      <c r="J200" s="506"/>
      <c r="K200" s="506"/>
      <c r="L200" s="506"/>
      <c r="M200" s="506"/>
      <c r="N200" s="506"/>
      <c r="O200" s="506"/>
      <c r="P200" s="506"/>
      <c r="Q200" s="506"/>
      <c r="R200" s="506"/>
      <c r="S200" s="506"/>
      <c r="T200" s="506"/>
      <c r="U200" s="506"/>
      <c r="V200" s="506"/>
      <c r="W200" s="507"/>
    </row>
    <row r="201" spans="1:23">
      <c r="B201" s="505"/>
      <c r="C201" s="506"/>
      <c r="D201" s="506"/>
      <c r="E201" s="506"/>
      <c r="F201" s="506"/>
      <c r="G201" s="506"/>
      <c r="H201" s="506"/>
      <c r="I201" s="506"/>
      <c r="J201" s="506"/>
      <c r="K201" s="506"/>
      <c r="L201" s="506"/>
      <c r="M201" s="506"/>
      <c r="N201" s="506"/>
      <c r="O201" s="506"/>
      <c r="P201" s="506"/>
      <c r="Q201" s="506"/>
      <c r="R201" s="506"/>
      <c r="S201" s="506"/>
      <c r="T201" s="506"/>
      <c r="U201" s="506"/>
      <c r="V201" s="506"/>
      <c r="W201" s="507"/>
    </row>
    <row r="202" spans="1:23">
      <c r="B202" s="505">
        <v>0</v>
      </c>
      <c r="C202" s="506" t="s">
        <v>361</v>
      </c>
      <c r="D202" s="506"/>
      <c r="E202" s="506"/>
      <c r="F202" s="506"/>
      <c r="G202" s="506" t="s">
        <v>733</v>
      </c>
      <c r="H202" s="506" t="s">
        <v>729</v>
      </c>
      <c r="I202" s="506" t="s">
        <v>362</v>
      </c>
      <c r="J202" s="506"/>
      <c r="K202" s="506"/>
      <c r="L202" s="506"/>
      <c r="M202" s="506"/>
      <c r="N202" s="506"/>
      <c r="O202" s="506"/>
      <c r="P202" s="506"/>
      <c r="Q202" s="506"/>
      <c r="R202" s="506"/>
      <c r="S202" s="506"/>
      <c r="T202" s="506"/>
      <c r="U202" s="506"/>
      <c r="V202" s="506"/>
      <c r="W202" s="507"/>
    </row>
    <row r="203" spans="1:23">
      <c r="B203" s="505" t="s">
        <v>363</v>
      </c>
      <c r="C203" s="506"/>
      <c r="D203" s="506" t="s">
        <v>364</v>
      </c>
      <c r="E203" s="506" t="s">
        <v>189</v>
      </c>
      <c r="F203" s="506" t="s">
        <v>427</v>
      </c>
      <c r="G203" s="506" t="s">
        <v>365</v>
      </c>
      <c r="H203" s="506"/>
      <c r="I203" s="506"/>
      <c r="J203" s="506"/>
      <c r="K203" s="506"/>
      <c r="L203" s="506"/>
      <c r="M203" s="506"/>
      <c r="N203" s="506"/>
      <c r="O203" s="506"/>
      <c r="P203" s="506"/>
      <c r="Q203" s="506"/>
      <c r="R203" s="506"/>
      <c r="S203" s="506"/>
      <c r="T203" s="506"/>
      <c r="U203" s="506"/>
      <c r="V203" s="506"/>
      <c r="W203" s="507"/>
    </row>
    <row r="204" spans="1:23">
      <c r="B204" s="505"/>
      <c r="C204" s="506"/>
      <c r="D204" s="506" t="s">
        <v>426</v>
      </c>
      <c r="E204" s="506">
        <v>0</v>
      </c>
      <c r="F204" s="506">
        <v>0</v>
      </c>
      <c r="G204" s="506"/>
      <c r="H204" s="506"/>
      <c r="I204" s="506"/>
      <c r="J204" s="506"/>
      <c r="K204" s="506"/>
      <c r="L204" s="506"/>
      <c r="M204" s="506"/>
      <c r="N204" s="506"/>
      <c r="O204" s="506"/>
      <c r="P204" s="506"/>
      <c r="Q204" s="506"/>
      <c r="R204" s="506"/>
      <c r="S204" s="506"/>
      <c r="T204" s="506"/>
      <c r="U204" s="506"/>
      <c r="V204" s="506"/>
      <c r="W204" s="507"/>
    </row>
    <row r="205" spans="1:23">
      <c r="B205" s="505"/>
      <c r="C205" s="506"/>
      <c r="D205" s="506" t="s">
        <v>616</v>
      </c>
      <c r="E205" s="506">
        <v>0</v>
      </c>
      <c r="F205" s="506">
        <v>0</v>
      </c>
      <c r="G205" s="506"/>
      <c r="H205" s="506"/>
      <c r="I205" s="506"/>
      <c r="J205" s="506"/>
      <c r="K205" s="506"/>
      <c r="L205" s="506"/>
      <c r="M205" s="506"/>
      <c r="N205" s="506"/>
      <c r="O205" s="506"/>
      <c r="P205" s="506"/>
      <c r="Q205" s="506"/>
      <c r="R205" s="506"/>
      <c r="S205" s="506" t="s">
        <v>55</v>
      </c>
      <c r="T205" s="506"/>
      <c r="U205" s="506"/>
      <c r="V205" s="506"/>
      <c r="W205" s="507"/>
    </row>
    <row r="206" spans="1:23">
      <c r="A206" s="23">
        <v>2</v>
      </c>
      <c r="B206" s="505"/>
      <c r="C206" s="506"/>
      <c r="D206" s="506" t="s">
        <v>359</v>
      </c>
      <c r="E206" s="506">
        <v>0</v>
      </c>
      <c r="F206" s="506">
        <v>0</v>
      </c>
      <c r="G206" s="506"/>
      <c r="H206" s="506"/>
      <c r="I206" s="506"/>
      <c r="J206" s="506"/>
      <c r="K206" s="506"/>
      <c r="L206" s="506"/>
      <c r="M206" s="506"/>
      <c r="N206" s="506"/>
      <c r="O206" s="506"/>
      <c r="P206" s="506"/>
      <c r="Q206" s="506"/>
      <c r="R206" s="506">
        <v>0</v>
      </c>
      <c r="S206" s="506" t="s">
        <v>399</v>
      </c>
      <c r="T206" s="506"/>
      <c r="U206" s="506"/>
      <c r="V206" s="506"/>
      <c r="W206" s="507"/>
    </row>
    <row r="207" spans="1:23">
      <c r="B207" s="505" t="s">
        <v>192</v>
      </c>
      <c r="C207" s="506"/>
      <c r="D207" s="506" t="s">
        <v>366</v>
      </c>
      <c r="E207" s="506"/>
      <c r="F207" s="506"/>
      <c r="G207" s="506" t="s">
        <v>367</v>
      </c>
      <c r="H207" s="506"/>
      <c r="I207" s="506" t="s">
        <v>428</v>
      </c>
      <c r="J207" s="506"/>
      <c r="K207" s="506"/>
      <c r="L207" s="506" t="s">
        <v>567</v>
      </c>
      <c r="M207" s="506" t="s">
        <v>727</v>
      </c>
      <c r="N207" s="506"/>
      <c r="O207" s="506"/>
      <c r="P207" s="506"/>
      <c r="Q207" s="506"/>
      <c r="R207" s="506" t="s">
        <v>291</v>
      </c>
      <c r="S207" s="506"/>
      <c r="T207" s="506" t="s">
        <v>366</v>
      </c>
      <c r="U207" s="506" t="s">
        <v>395</v>
      </c>
      <c r="V207" s="506" t="s">
        <v>396</v>
      </c>
      <c r="W207" s="507" t="s">
        <v>397</v>
      </c>
    </row>
    <row r="208" spans="1:23">
      <c r="B208" s="505" t="s">
        <v>429</v>
      </c>
      <c r="C208" s="506"/>
      <c r="D208" s="506"/>
      <c r="E208" s="506"/>
      <c r="F208" s="506"/>
      <c r="G208" s="506"/>
      <c r="H208" s="506"/>
      <c r="I208" s="506"/>
      <c r="J208" s="506"/>
      <c r="K208" s="506"/>
      <c r="L208" s="506" t="s">
        <v>568</v>
      </c>
      <c r="M208" s="506" t="s">
        <v>727</v>
      </c>
      <c r="N208" s="506"/>
      <c r="O208" s="506"/>
      <c r="P208" s="506"/>
      <c r="Q208" s="506"/>
      <c r="R208" s="506"/>
      <c r="S208" s="506"/>
      <c r="T208" s="506"/>
      <c r="U208" s="506"/>
      <c r="V208" s="506"/>
      <c r="W208" s="507"/>
    </row>
    <row r="209" spans="2:23">
      <c r="B209" s="505"/>
      <c r="C209" s="506"/>
      <c r="D209" s="506"/>
      <c r="E209" s="506"/>
      <c r="F209" s="506"/>
      <c r="G209" s="506"/>
      <c r="H209" s="506"/>
      <c r="I209" s="506"/>
      <c r="J209" s="506"/>
      <c r="K209" s="506"/>
      <c r="L209" s="506" t="s">
        <v>569</v>
      </c>
      <c r="M209" s="506" t="s">
        <v>727</v>
      </c>
      <c r="N209" s="506"/>
      <c r="O209" s="506"/>
      <c r="P209" s="506"/>
      <c r="Q209" s="506"/>
      <c r="R209" s="506"/>
      <c r="S209" s="506"/>
      <c r="T209" s="506"/>
      <c r="U209" s="506"/>
      <c r="V209" s="506"/>
      <c r="W209" s="507"/>
    </row>
    <row r="210" spans="2:23">
      <c r="B210" s="505"/>
      <c r="C210" s="506"/>
      <c r="D210" s="506"/>
      <c r="E210" s="506"/>
      <c r="F210" s="506"/>
      <c r="G210" s="506"/>
      <c r="H210" s="506"/>
      <c r="I210" s="506"/>
      <c r="J210" s="506"/>
      <c r="K210" s="506"/>
      <c r="L210" s="506" t="s">
        <v>570</v>
      </c>
      <c r="M210" s="506" t="s">
        <v>727</v>
      </c>
      <c r="N210" s="506"/>
      <c r="O210" s="506"/>
      <c r="P210" s="506"/>
      <c r="Q210" s="506"/>
      <c r="R210" s="506"/>
      <c r="S210" s="506"/>
      <c r="T210" s="506"/>
      <c r="U210" s="506"/>
      <c r="V210" s="506"/>
      <c r="W210" s="507"/>
    </row>
    <row r="211" spans="2:23">
      <c r="B211" s="505"/>
      <c r="C211" s="506"/>
      <c r="D211" s="506"/>
      <c r="E211" s="506"/>
      <c r="F211" s="506"/>
      <c r="G211" s="506"/>
      <c r="H211" s="506"/>
      <c r="I211" s="506"/>
      <c r="J211" s="506"/>
      <c r="K211" s="506"/>
      <c r="L211" s="506" t="s">
        <v>619</v>
      </c>
      <c r="M211" s="506" t="s">
        <v>727</v>
      </c>
      <c r="N211" s="506"/>
      <c r="O211" s="506"/>
      <c r="P211" s="506"/>
      <c r="Q211" s="506"/>
      <c r="R211" s="506"/>
      <c r="S211" s="506"/>
      <c r="T211" s="506"/>
      <c r="U211" s="506"/>
      <c r="V211" s="506"/>
      <c r="W211" s="507"/>
    </row>
    <row r="212" spans="2:23">
      <c r="B212" s="505"/>
      <c r="C212" s="506"/>
      <c r="D212" s="506"/>
      <c r="E212" s="506"/>
      <c r="F212" s="506"/>
      <c r="G212" s="506"/>
      <c r="H212" s="506"/>
      <c r="I212" s="506"/>
      <c r="J212" s="506"/>
      <c r="K212" s="506"/>
      <c r="L212" s="506" t="s">
        <v>455</v>
      </c>
      <c r="M212" s="506"/>
      <c r="N212" s="506"/>
      <c r="O212" s="506"/>
      <c r="P212" s="506"/>
      <c r="Q212" s="506"/>
      <c r="R212" s="506"/>
      <c r="S212" s="506"/>
      <c r="T212" s="506" t="s">
        <v>261</v>
      </c>
      <c r="U212" s="506" t="s">
        <v>316</v>
      </c>
      <c r="V212" s="506" t="s">
        <v>317</v>
      </c>
      <c r="W212" s="507" t="s">
        <v>318</v>
      </c>
    </row>
    <row r="213" spans="2:23">
      <c r="B213" s="505"/>
      <c r="C213" s="506"/>
      <c r="D213" s="506"/>
      <c r="E213" s="506"/>
      <c r="F213" s="506"/>
      <c r="G213" s="506"/>
      <c r="H213" s="506"/>
      <c r="I213" s="506"/>
      <c r="J213" s="506"/>
      <c r="K213" s="506"/>
      <c r="L213" s="506"/>
      <c r="M213" s="506"/>
      <c r="N213" s="506"/>
      <c r="O213" s="506"/>
      <c r="P213" s="506"/>
      <c r="Q213" s="506"/>
      <c r="R213" s="506"/>
      <c r="S213" s="506"/>
      <c r="T213" s="506">
        <v>0</v>
      </c>
      <c r="U213" s="506"/>
      <c r="V213" s="506"/>
      <c r="W213" s="507"/>
    </row>
    <row r="214" spans="2:23">
      <c r="B214" s="505"/>
      <c r="C214" s="506"/>
      <c r="D214" s="506"/>
      <c r="E214" s="506"/>
      <c r="F214" s="506"/>
      <c r="G214" s="506"/>
      <c r="H214" s="506"/>
      <c r="I214" s="506"/>
      <c r="J214" s="506"/>
      <c r="K214" s="506"/>
      <c r="L214" s="506"/>
      <c r="M214" s="506"/>
      <c r="N214" s="506"/>
      <c r="O214" s="506"/>
      <c r="P214" s="506"/>
      <c r="Q214" s="506"/>
      <c r="R214" s="506"/>
      <c r="S214" s="506"/>
      <c r="T214" s="506"/>
      <c r="U214" s="506"/>
      <c r="V214" s="506"/>
      <c r="W214" s="507"/>
    </row>
    <row r="215" spans="2:23" ht="12.75" thickBot="1">
      <c r="B215" s="508" t="s">
        <v>475</v>
      </c>
      <c r="C215" s="509"/>
      <c r="D215" s="509"/>
      <c r="E215" s="509"/>
      <c r="F215" s="509"/>
      <c r="G215" s="509" t="s">
        <v>368</v>
      </c>
      <c r="H215" s="509"/>
      <c r="I215" s="509"/>
      <c r="J215" s="509"/>
      <c r="K215" s="509"/>
      <c r="L215" s="509" t="s">
        <v>369</v>
      </c>
      <c r="M215" s="509"/>
      <c r="N215" s="509">
        <v>0</v>
      </c>
      <c r="O215" s="509" t="s">
        <v>430</v>
      </c>
      <c r="P215" s="509"/>
      <c r="Q215" s="509"/>
      <c r="R215" s="509" t="s">
        <v>325</v>
      </c>
      <c r="S215" s="509"/>
      <c r="T215" s="509"/>
      <c r="U215" s="509">
        <v>10</v>
      </c>
      <c r="V215" s="509"/>
      <c r="W215" s="510"/>
    </row>
    <row r="217" spans="2:23" ht="12.75" thickBot="1"/>
    <row r="218" spans="2:23">
      <c r="B218" s="502">
        <v>0</v>
      </c>
      <c r="C218" s="503" t="s">
        <v>676</v>
      </c>
      <c r="D218" s="503"/>
      <c r="E218" s="503"/>
      <c r="F218" s="503"/>
      <c r="G218" s="503"/>
      <c r="H218" s="503"/>
      <c r="I218" s="503"/>
      <c r="J218" s="503"/>
      <c r="K218" s="503"/>
      <c r="L218" s="503">
        <v>0</v>
      </c>
      <c r="M218" s="503" t="s">
        <v>93</v>
      </c>
      <c r="N218" s="503"/>
      <c r="O218" s="503"/>
      <c r="P218" s="503"/>
      <c r="Q218" s="503"/>
      <c r="R218" s="503">
        <v>0</v>
      </c>
      <c r="S218" s="503" t="s">
        <v>678</v>
      </c>
      <c r="T218" s="503"/>
      <c r="U218" s="503"/>
      <c r="V218" s="503"/>
      <c r="W218" s="504"/>
    </row>
    <row r="219" spans="2:23">
      <c r="B219" s="505" t="s">
        <v>897</v>
      </c>
      <c r="C219" s="506"/>
      <c r="D219" s="506"/>
      <c r="E219" s="506"/>
      <c r="F219" s="506"/>
      <c r="G219" s="506"/>
      <c r="H219" s="506"/>
      <c r="I219" s="506"/>
      <c r="J219" s="506"/>
      <c r="K219" s="506"/>
      <c r="L219" s="506"/>
      <c r="M219" s="506"/>
      <c r="N219" s="506"/>
      <c r="O219" s="506"/>
      <c r="P219" s="506"/>
      <c r="Q219" s="506"/>
      <c r="R219" s="506" t="s">
        <v>682</v>
      </c>
      <c r="S219" s="506"/>
      <c r="T219" s="506" t="s">
        <v>683</v>
      </c>
      <c r="U219" s="506" t="s">
        <v>288</v>
      </c>
      <c r="V219" s="506" t="s">
        <v>684</v>
      </c>
      <c r="W219" s="507" t="s">
        <v>289</v>
      </c>
    </row>
    <row r="220" spans="2:23">
      <c r="B220" s="505" t="s">
        <v>44</v>
      </c>
      <c r="C220" s="506"/>
      <c r="D220" s="506" t="s">
        <v>679</v>
      </c>
      <c r="E220" s="506" t="s">
        <v>680</v>
      </c>
      <c r="F220" s="506"/>
      <c r="G220" s="506" t="s">
        <v>681</v>
      </c>
      <c r="H220" s="506"/>
      <c r="I220" s="506" t="s">
        <v>673</v>
      </c>
      <c r="J220" s="506"/>
      <c r="K220" s="506"/>
      <c r="L220" s="506"/>
      <c r="M220" s="506"/>
      <c r="N220" s="506"/>
      <c r="O220" s="506"/>
      <c r="P220" s="506"/>
      <c r="Q220" s="506"/>
      <c r="R220" s="506"/>
      <c r="S220" s="506"/>
      <c r="T220" s="506"/>
      <c r="U220" s="506"/>
      <c r="V220" s="506"/>
      <c r="W220" s="507"/>
    </row>
    <row r="221" spans="2:23">
      <c r="B221" s="505"/>
      <c r="C221" s="506"/>
      <c r="D221" s="506"/>
      <c r="E221" s="506"/>
      <c r="F221" s="506"/>
      <c r="G221" s="506"/>
      <c r="H221" s="506"/>
      <c r="I221" s="506"/>
      <c r="J221" s="506"/>
      <c r="K221" s="506"/>
      <c r="L221" s="506"/>
      <c r="M221" s="506"/>
      <c r="N221" s="506"/>
      <c r="O221" s="506"/>
      <c r="P221" s="506"/>
      <c r="Q221" s="506"/>
      <c r="R221" s="506"/>
      <c r="S221" s="506"/>
      <c r="T221" s="506"/>
      <c r="U221" s="506"/>
      <c r="V221" s="506"/>
      <c r="W221" s="507"/>
    </row>
    <row r="222" spans="2:23">
      <c r="B222" s="505"/>
      <c r="C222" s="506"/>
      <c r="D222" s="506"/>
      <c r="E222" s="506"/>
      <c r="F222" s="506"/>
      <c r="G222" s="506"/>
      <c r="H222" s="506"/>
      <c r="I222" s="506"/>
      <c r="J222" s="506"/>
      <c r="K222" s="506"/>
      <c r="L222" s="506"/>
      <c r="M222" s="506"/>
      <c r="N222" s="506"/>
      <c r="O222" s="506"/>
      <c r="P222" s="506"/>
      <c r="Q222" s="506"/>
      <c r="R222" s="506"/>
      <c r="S222" s="506"/>
      <c r="T222" s="506"/>
      <c r="U222" s="506"/>
      <c r="V222" s="506"/>
      <c r="W222" s="507"/>
    </row>
    <row r="223" spans="2:23">
      <c r="B223" s="505" t="s">
        <v>686</v>
      </c>
      <c r="C223" s="506"/>
      <c r="D223" s="506"/>
      <c r="E223" s="506"/>
      <c r="F223" s="506"/>
      <c r="G223" s="506" t="s">
        <v>687</v>
      </c>
      <c r="H223" s="506"/>
      <c r="I223" s="506"/>
      <c r="J223" s="506"/>
      <c r="K223" s="506"/>
      <c r="L223" s="506"/>
      <c r="M223" s="506"/>
      <c r="N223" s="506"/>
      <c r="O223" s="506"/>
      <c r="P223" s="506"/>
      <c r="Q223" s="506"/>
      <c r="R223" s="506"/>
      <c r="S223" s="506"/>
      <c r="T223" s="506"/>
      <c r="U223" s="506"/>
      <c r="V223" s="506"/>
      <c r="W223" s="507"/>
    </row>
    <row r="224" spans="2:23">
      <c r="B224" s="505"/>
      <c r="C224" s="506"/>
      <c r="D224" s="506"/>
      <c r="E224" s="506"/>
      <c r="F224" s="506"/>
      <c r="G224" s="506" t="s">
        <v>688</v>
      </c>
      <c r="H224" s="506"/>
      <c r="I224" s="506"/>
      <c r="J224" s="506"/>
      <c r="K224" s="506"/>
      <c r="L224" s="506"/>
      <c r="M224" s="506"/>
      <c r="N224" s="506"/>
      <c r="O224" s="506"/>
      <c r="P224" s="506"/>
      <c r="Q224" s="506"/>
      <c r="R224" s="506"/>
      <c r="S224" s="506"/>
      <c r="T224" s="506"/>
      <c r="U224" s="506"/>
      <c r="V224" s="506"/>
      <c r="W224" s="507"/>
    </row>
    <row r="225" spans="2:23">
      <c r="B225" s="505"/>
      <c r="C225" s="506"/>
      <c r="D225" s="506"/>
      <c r="E225" s="506"/>
      <c r="F225" s="506"/>
      <c r="G225" s="506" t="s">
        <v>689</v>
      </c>
      <c r="H225" s="506"/>
      <c r="I225" s="506"/>
      <c r="J225" s="506"/>
      <c r="K225" s="506"/>
      <c r="L225" s="506"/>
      <c r="M225" s="506"/>
      <c r="N225" s="506"/>
      <c r="O225" s="506"/>
      <c r="P225" s="506"/>
      <c r="Q225" s="506"/>
      <c r="R225" s="506"/>
      <c r="S225" s="506"/>
      <c r="T225" s="506"/>
      <c r="U225" s="506"/>
      <c r="V225" s="506"/>
      <c r="W225" s="507"/>
    </row>
    <row r="226" spans="2:23">
      <c r="B226" s="505"/>
      <c r="C226" s="506"/>
      <c r="D226" s="506"/>
      <c r="E226" s="506"/>
      <c r="F226" s="506"/>
      <c r="G226" s="506" t="s">
        <v>691</v>
      </c>
      <c r="H226" s="506"/>
      <c r="I226" s="506"/>
      <c r="J226" s="506"/>
      <c r="K226" s="506"/>
      <c r="L226" s="506"/>
      <c r="M226" s="506"/>
      <c r="N226" s="506"/>
      <c r="O226" s="506"/>
      <c r="P226" s="506"/>
      <c r="Q226" s="506"/>
      <c r="R226" s="506"/>
      <c r="S226" s="506"/>
      <c r="T226" s="506"/>
      <c r="U226" s="506"/>
      <c r="V226" s="506"/>
      <c r="W226" s="507"/>
    </row>
    <row r="227" spans="2:23">
      <c r="B227" s="505"/>
      <c r="C227" s="506"/>
      <c r="D227" s="506"/>
      <c r="E227" s="506"/>
      <c r="F227" s="506"/>
      <c r="G227" s="506" t="s">
        <v>693</v>
      </c>
      <c r="H227" s="506"/>
      <c r="I227" s="506"/>
      <c r="J227" s="506"/>
      <c r="K227" s="506"/>
      <c r="L227" s="506" t="s">
        <v>690</v>
      </c>
      <c r="M227" s="506" t="s">
        <v>727</v>
      </c>
      <c r="N227" s="506"/>
      <c r="O227" s="506"/>
      <c r="P227" s="506"/>
      <c r="Q227" s="506"/>
      <c r="R227" s="506"/>
      <c r="S227" s="506"/>
      <c r="T227" s="506"/>
      <c r="U227" s="506"/>
      <c r="V227" s="506"/>
      <c r="W227" s="507"/>
    </row>
    <row r="228" spans="2:23">
      <c r="B228" s="505"/>
      <c r="C228" s="506"/>
      <c r="D228" s="506"/>
      <c r="E228" s="506"/>
      <c r="F228" s="506"/>
      <c r="G228" s="506" t="s">
        <v>695</v>
      </c>
      <c r="H228" s="506"/>
      <c r="I228" s="506"/>
      <c r="J228" s="506"/>
      <c r="K228" s="506"/>
      <c r="L228" s="506" t="s">
        <v>713</v>
      </c>
      <c r="M228" s="506" t="s">
        <v>727</v>
      </c>
      <c r="N228" s="506"/>
      <c r="O228" s="506"/>
      <c r="P228" s="506"/>
      <c r="Q228" s="506"/>
      <c r="R228" s="506"/>
      <c r="S228" s="506"/>
      <c r="T228" s="506"/>
      <c r="U228" s="506"/>
      <c r="V228" s="506"/>
      <c r="W228" s="507"/>
    </row>
    <row r="229" spans="2:23">
      <c r="B229" s="505"/>
      <c r="C229" s="506"/>
      <c r="D229" s="506"/>
      <c r="E229" s="506"/>
      <c r="F229" s="506"/>
      <c r="G229" s="506" t="s">
        <v>698</v>
      </c>
      <c r="H229" s="506"/>
      <c r="I229" s="506" t="s">
        <v>90</v>
      </c>
      <c r="J229" s="506"/>
      <c r="K229" s="506"/>
      <c r="L229" s="506" t="s">
        <v>694</v>
      </c>
      <c r="M229" s="506" t="s">
        <v>727</v>
      </c>
      <c r="N229" s="506"/>
      <c r="O229" s="506"/>
      <c r="P229" s="506"/>
      <c r="Q229" s="506"/>
      <c r="R229" s="506"/>
      <c r="S229" s="506"/>
      <c r="T229" s="506"/>
      <c r="U229" s="506"/>
      <c r="V229" s="506"/>
      <c r="W229" s="507"/>
    </row>
    <row r="230" spans="2:23">
      <c r="B230" s="505"/>
      <c r="C230" s="506"/>
      <c r="D230" s="506"/>
      <c r="E230" s="506"/>
      <c r="F230" s="506"/>
      <c r="G230" s="506" t="s">
        <v>45</v>
      </c>
      <c r="H230" s="506" t="s">
        <v>685</v>
      </c>
      <c r="I230" s="506" t="s">
        <v>46</v>
      </c>
      <c r="J230" s="506" t="s">
        <v>47</v>
      </c>
      <c r="K230" s="506"/>
      <c r="L230" s="506" t="s">
        <v>714</v>
      </c>
      <c r="M230" s="506" t="s">
        <v>727</v>
      </c>
      <c r="N230" s="506"/>
      <c r="O230" s="506"/>
      <c r="P230" s="506"/>
      <c r="Q230" s="506"/>
      <c r="R230" s="506"/>
      <c r="S230" s="506"/>
      <c r="T230" s="506"/>
      <c r="U230" s="506"/>
      <c r="V230" s="506"/>
      <c r="W230" s="507"/>
    </row>
    <row r="231" spans="2:23">
      <c r="B231" s="505" t="s">
        <v>49</v>
      </c>
      <c r="C231" s="506"/>
      <c r="D231" s="506"/>
      <c r="E231" s="506"/>
      <c r="F231" s="506"/>
      <c r="G231" s="506" t="s">
        <v>48</v>
      </c>
      <c r="H231" s="506"/>
      <c r="I231" s="506"/>
      <c r="J231" s="506"/>
      <c r="K231" s="506"/>
      <c r="L231" s="506" t="s">
        <v>715</v>
      </c>
      <c r="M231" s="506" t="s">
        <v>727</v>
      </c>
      <c r="N231" s="506"/>
      <c r="O231" s="506"/>
      <c r="P231" s="506"/>
      <c r="Q231" s="506"/>
      <c r="R231" s="506"/>
      <c r="S231" s="506"/>
      <c r="T231" s="506"/>
      <c r="U231" s="506"/>
      <c r="V231" s="506"/>
      <c r="W231" s="507"/>
    </row>
    <row r="232" spans="2:23">
      <c r="B232" s="505"/>
      <c r="C232" s="506"/>
      <c r="D232" s="506"/>
      <c r="E232" s="506"/>
      <c r="F232" s="506"/>
      <c r="G232" s="506"/>
      <c r="H232" s="506"/>
      <c r="I232" s="506"/>
      <c r="J232" s="506"/>
      <c r="K232" s="506"/>
      <c r="L232" s="506"/>
      <c r="M232" s="506"/>
      <c r="N232" s="506"/>
      <c r="O232" s="506"/>
      <c r="P232" s="506"/>
      <c r="Q232" s="506"/>
      <c r="R232" s="506"/>
      <c r="S232" s="506"/>
      <c r="T232" s="506"/>
      <c r="U232" s="506"/>
      <c r="V232" s="506"/>
      <c r="W232" s="507"/>
    </row>
    <row r="233" spans="2:23">
      <c r="B233" s="505">
        <v>0</v>
      </c>
      <c r="C233" s="506" t="s">
        <v>700</v>
      </c>
      <c r="D233" s="506"/>
      <c r="E233" s="506"/>
      <c r="F233" s="506"/>
      <c r="G233" s="506"/>
      <c r="H233" s="506"/>
      <c r="I233" s="506"/>
      <c r="J233" s="506"/>
      <c r="K233" s="506"/>
      <c r="L233" s="506">
        <v>0</v>
      </c>
      <c r="M233" s="506" t="s">
        <v>677</v>
      </c>
      <c r="N233" s="506"/>
      <c r="O233" s="506"/>
      <c r="P233" s="506"/>
      <c r="Q233" s="506"/>
      <c r="R233" s="506">
        <v>0</v>
      </c>
      <c r="S233" s="506" t="s">
        <v>701</v>
      </c>
      <c r="T233" s="506"/>
      <c r="U233" s="506"/>
      <c r="V233" s="506"/>
      <c r="W233" s="507"/>
    </row>
    <row r="234" spans="2:23">
      <c r="B234" s="505"/>
      <c r="C234" s="506"/>
      <c r="D234" s="506"/>
      <c r="E234" s="506"/>
      <c r="F234" s="506"/>
      <c r="G234" s="506"/>
      <c r="H234" s="506"/>
      <c r="I234" s="506"/>
      <c r="J234" s="506"/>
      <c r="K234" s="506"/>
      <c r="L234" s="506"/>
      <c r="M234" s="506"/>
      <c r="N234" s="506"/>
      <c r="O234" s="506"/>
      <c r="P234" s="506"/>
      <c r="Q234" s="506"/>
      <c r="R234" s="506"/>
      <c r="S234" s="506"/>
      <c r="T234" s="506"/>
      <c r="U234" s="506"/>
      <c r="V234" s="506"/>
      <c r="W234" s="507"/>
    </row>
    <row r="235" spans="2:23">
      <c r="B235" s="505" t="s">
        <v>91</v>
      </c>
      <c r="C235" s="506"/>
      <c r="D235" s="506"/>
      <c r="E235" s="506"/>
      <c r="F235" s="506"/>
      <c r="G235" s="506"/>
      <c r="H235" s="506"/>
      <c r="I235" s="506"/>
      <c r="J235" s="506"/>
      <c r="K235" s="506"/>
      <c r="L235" s="506"/>
      <c r="M235" s="506"/>
      <c r="N235" s="506"/>
      <c r="O235" s="506"/>
      <c r="P235" s="506"/>
      <c r="Q235" s="506"/>
      <c r="R235" s="506"/>
      <c r="S235" s="506"/>
      <c r="T235" s="506"/>
      <c r="U235" s="506"/>
      <c r="V235" s="506"/>
      <c r="W235" s="507"/>
    </row>
    <row r="236" spans="2:23">
      <c r="B236" s="505"/>
      <c r="C236" s="506"/>
      <c r="D236" s="506"/>
      <c r="E236" s="506"/>
      <c r="F236" s="506"/>
      <c r="G236" s="506"/>
      <c r="H236" s="506"/>
      <c r="I236" s="506"/>
      <c r="J236" s="506"/>
      <c r="K236" s="506"/>
      <c r="L236" s="506"/>
      <c r="M236" s="506"/>
      <c r="N236" s="506"/>
      <c r="O236" s="506"/>
      <c r="P236" s="506"/>
      <c r="Q236" s="506"/>
      <c r="R236" s="506"/>
      <c r="S236" s="506"/>
      <c r="T236" s="506"/>
      <c r="U236" s="506"/>
      <c r="V236" s="506"/>
      <c r="W236" s="507"/>
    </row>
    <row r="237" spans="2:23">
      <c r="B237" s="505"/>
      <c r="C237" s="506"/>
      <c r="D237" s="506"/>
      <c r="E237" s="506"/>
      <c r="F237" s="506"/>
      <c r="G237" s="506"/>
      <c r="H237" s="506"/>
      <c r="I237" s="506"/>
      <c r="J237" s="506"/>
      <c r="K237" s="506"/>
      <c r="L237" s="506"/>
      <c r="M237" s="506"/>
      <c r="N237" s="506"/>
      <c r="O237" s="506"/>
      <c r="P237" s="506"/>
      <c r="Q237" s="506"/>
      <c r="R237" s="506"/>
      <c r="S237" s="506"/>
      <c r="T237" s="506"/>
      <c r="U237" s="506"/>
      <c r="V237" s="506"/>
      <c r="W237" s="507"/>
    </row>
    <row r="238" spans="2:23">
      <c r="B238" s="505">
        <v>0</v>
      </c>
      <c r="C238" s="506" t="s">
        <v>702</v>
      </c>
      <c r="D238" s="506"/>
      <c r="E238" s="506"/>
      <c r="F238" s="506"/>
      <c r="G238" s="506" t="s">
        <v>703</v>
      </c>
      <c r="H238" s="506" t="s">
        <v>729</v>
      </c>
      <c r="I238" s="506" t="s">
        <v>704</v>
      </c>
      <c r="J238" s="506"/>
      <c r="K238" s="506"/>
      <c r="L238" s="506"/>
      <c r="M238" s="506"/>
      <c r="N238" s="506"/>
      <c r="O238" s="506"/>
      <c r="P238" s="506"/>
      <c r="Q238" s="506"/>
      <c r="R238" s="506"/>
      <c r="S238" s="506"/>
      <c r="T238" s="506"/>
      <c r="U238" s="506"/>
      <c r="V238" s="506"/>
      <c r="W238" s="507"/>
    </row>
    <row r="239" spans="2:23">
      <c r="B239" s="505" t="s">
        <v>92</v>
      </c>
      <c r="C239" s="506"/>
      <c r="D239" s="506" t="s">
        <v>705</v>
      </c>
      <c r="E239" s="506" t="s">
        <v>189</v>
      </c>
      <c r="F239" s="506" t="s">
        <v>706</v>
      </c>
      <c r="G239" s="506" t="s">
        <v>707</v>
      </c>
      <c r="H239" s="506"/>
      <c r="I239" s="506"/>
      <c r="J239" s="506"/>
      <c r="K239" s="506"/>
      <c r="L239" s="506"/>
      <c r="M239" s="506"/>
      <c r="N239" s="506"/>
      <c r="O239" s="506"/>
      <c r="P239" s="506"/>
      <c r="Q239" s="506"/>
      <c r="R239" s="506"/>
      <c r="S239" s="506"/>
      <c r="T239" s="506"/>
      <c r="U239" s="506"/>
      <c r="V239" s="506"/>
      <c r="W239" s="507"/>
    </row>
    <row r="240" spans="2:23">
      <c r="B240" s="505"/>
      <c r="C240" s="506"/>
      <c r="D240" s="506" t="s">
        <v>50</v>
      </c>
      <c r="E240" s="506">
        <v>0</v>
      </c>
      <c r="F240" s="506">
        <v>0</v>
      </c>
      <c r="G240" s="506"/>
      <c r="H240" s="506"/>
      <c r="I240" s="506"/>
      <c r="J240" s="506"/>
      <c r="K240" s="506"/>
      <c r="L240" s="506"/>
      <c r="M240" s="506"/>
      <c r="N240" s="506"/>
      <c r="O240" s="506"/>
      <c r="P240" s="506"/>
      <c r="Q240" s="506"/>
      <c r="R240" s="506"/>
      <c r="S240" s="506"/>
      <c r="T240" s="506"/>
      <c r="U240" s="506"/>
      <c r="V240" s="506"/>
      <c r="W240" s="507"/>
    </row>
    <row r="241" spans="2:23">
      <c r="B241" s="505"/>
      <c r="C241" s="506"/>
      <c r="D241" s="506" t="s">
        <v>616</v>
      </c>
      <c r="E241" s="506">
        <v>0</v>
      </c>
      <c r="F241" s="506">
        <v>0</v>
      </c>
      <c r="G241" s="506"/>
      <c r="H241" s="506"/>
      <c r="I241" s="506"/>
      <c r="J241" s="506"/>
      <c r="K241" s="506"/>
      <c r="L241" s="506"/>
      <c r="M241" s="506"/>
      <c r="N241" s="506"/>
      <c r="O241" s="506"/>
      <c r="P241" s="506"/>
      <c r="Q241" s="506"/>
      <c r="R241" s="506"/>
      <c r="S241" s="506" t="s">
        <v>708</v>
      </c>
      <c r="T241" s="506"/>
      <c r="U241" s="506"/>
      <c r="V241" s="506"/>
      <c r="W241" s="507"/>
    </row>
    <row r="242" spans="2:23">
      <c r="B242" s="505"/>
      <c r="C242" s="506"/>
      <c r="D242" s="506" t="s">
        <v>48</v>
      </c>
      <c r="E242" s="506">
        <v>0</v>
      </c>
      <c r="F242" s="506">
        <v>0</v>
      </c>
      <c r="G242" s="506"/>
      <c r="H242" s="506"/>
      <c r="I242" s="506"/>
      <c r="J242" s="506"/>
      <c r="K242" s="506"/>
      <c r="L242" s="506"/>
      <c r="M242" s="506"/>
      <c r="N242" s="506"/>
      <c r="O242" s="506"/>
      <c r="P242" s="506"/>
      <c r="Q242" s="506"/>
      <c r="R242" s="506">
        <v>0</v>
      </c>
      <c r="S242" s="506" t="s">
        <v>94</v>
      </c>
      <c r="T242" s="506"/>
      <c r="U242" s="506"/>
      <c r="V242" s="506"/>
      <c r="W242" s="507"/>
    </row>
    <row r="243" spans="2:23">
      <c r="B243" s="505" t="s">
        <v>192</v>
      </c>
      <c r="C243" s="506"/>
      <c r="D243" s="506" t="s">
        <v>709</v>
      </c>
      <c r="E243" s="506"/>
      <c r="F243" s="506"/>
      <c r="G243" s="506" t="s">
        <v>51</v>
      </c>
      <c r="H243" s="506"/>
      <c r="I243" s="506" t="s">
        <v>710</v>
      </c>
      <c r="J243" s="506"/>
      <c r="K243" s="506"/>
      <c r="L243" s="506" t="s">
        <v>690</v>
      </c>
      <c r="M243" s="506" t="s">
        <v>727</v>
      </c>
      <c r="N243" s="506"/>
      <c r="O243" s="506"/>
      <c r="P243" s="506"/>
      <c r="Q243" s="506"/>
      <c r="R243" s="506" t="s">
        <v>711</v>
      </c>
      <c r="S243" s="506"/>
      <c r="T243" s="506" t="s">
        <v>709</v>
      </c>
      <c r="U243" s="506" t="s">
        <v>288</v>
      </c>
      <c r="V243" s="506" t="s">
        <v>684</v>
      </c>
      <c r="W243" s="507" t="s">
        <v>289</v>
      </c>
    </row>
    <row r="244" spans="2:23">
      <c r="B244" s="505" t="s">
        <v>712</v>
      </c>
      <c r="C244" s="506"/>
      <c r="D244" s="506"/>
      <c r="E244" s="506"/>
      <c r="F244" s="506"/>
      <c r="G244" s="506"/>
      <c r="H244" s="506"/>
      <c r="I244" s="506"/>
      <c r="J244" s="506"/>
      <c r="K244" s="506"/>
      <c r="L244" s="506" t="s">
        <v>692</v>
      </c>
      <c r="M244" s="506" t="s">
        <v>727</v>
      </c>
      <c r="N244" s="506"/>
      <c r="O244" s="506"/>
      <c r="P244" s="506"/>
      <c r="Q244" s="506"/>
      <c r="R244" s="506"/>
      <c r="S244" s="506"/>
      <c r="T244" s="506"/>
      <c r="U244" s="506"/>
      <c r="V244" s="506"/>
      <c r="W244" s="507"/>
    </row>
    <row r="245" spans="2:23">
      <c r="B245" s="505"/>
      <c r="C245" s="506"/>
      <c r="D245" s="506"/>
      <c r="E245" s="506"/>
      <c r="F245" s="506"/>
      <c r="G245" s="506"/>
      <c r="H245" s="506"/>
      <c r="I245" s="506"/>
      <c r="J245" s="506"/>
      <c r="K245" s="506"/>
      <c r="L245" s="506" t="s">
        <v>694</v>
      </c>
      <c r="M245" s="506" t="s">
        <v>727</v>
      </c>
      <c r="N245" s="506"/>
      <c r="O245" s="506"/>
      <c r="P245" s="506"/>
      <c r="Q245" s="506"/>
      <c r="R245" s="506"/>
      <c r="S245" s="506"/>
      <c r="T245" s="506"/>
      <c r="U245" s="506"/>
      <c r="V245" s="506"/>
      <c r="W245" s="507"/>
    </row>
    <row r="246" spans="2:23">
      <c r="B246" s="505"/>
      <c r="C246" s="506"/>
      <c r="D246" s="506"/>
      <c r="E246" s="506"/>
      <c r="F246" s="506"/>
      <c r="G246" s="506"/>
      <c r="H246" s="506"/>
      <c r="I246" s="506"/>
      <c r="J246" s="506"/>
      <c r="K246" s="506"/>
      <c r="L246" s="506" t="s">
        <v>696</v>
      </c>
      <c r="M246" s="506" t="s">
        <v>727</v>
      </c>
      <c r="N246" s="506"/>
      <c r="O246" s="506"/>
      <c r="P246" s="506"/>
      <c r="Q246" s="506"/>
      <c r="R246" s="506"/>
      <c r="S246" s="506"/>
      <c r="T246" s="506"/>
      <c r="U246" s="506"/>
      <c r="V246" s="506"/>
      <c r="W246" s="507"/>
    </row>
    <row r="247" spans="2:23">
      <c r="B247" s="505"/>
      <c r="C247" s="506"/>
      <c r="D247" s="506"/>
      <c r="E247" s="506"/>
      <c r="F247" s="506"/>
      <c r="G247" s="506"/>
      <c r="H247" s="506"/>
      <c r="I247" s="506"/>
      <c r="J247" s="506"/>
      <c r="K247" s="506"/>
      <c r="L247" s="506" t="s">
        <v>697</v>
      </c>
      <c r="M247" s="506" t="s">
        <v>727</v>
      </c>
      <c r="N247" s="506"/>
      <c r="O247" s="506"/>
      <c r="P247" s="506"/>
      <c r="Q247" s="506"/>
      <c r="R247" s="506"/>
      <c r="S247" s="506"/>
      <c r="T247" s="506"/>
      <c r="U247" s="506"/>
      <c r="V247" s="506"/>
      <c r="W247" s="507"/>
    </row>
    <row r="248" spans="2:23">
      <c r="B248" s="505"/>
      <c r="C248" s="506"/>
      <c r="D248" s="506"/>
      <c r="E248" s="506"/>
      <c r="F248" s="506"/>
      <c r="G248" s="506"/>
      <c r="H248" s="506"/>
      <c r="I248" s="506"/>
      <c r="J248" s="506"/>
      <c r="K248" s="506"/>
      <c r="L248" s="506" t="s">
        <v>699</v>
      </c>
      <c r="M248" s="506"/>
      <c r="N248" s="506"/>
      <c r="O248" s="506"/>
      <c r="P248" s="506"/>
      <c r="Q248" s="506"/>
      <c r="R248" s="506"/>
      <c r="S248" s="506"/>
      <c r="T248" s="506" t="s">
        <v>261</v>
      </c>
      <c r="U248" s="506" t="s">
        <v>316</v>
      </c>
      <c r="V248" s="506" t="s">
        <v>317</v>
      </c>
      <c r="W248" s="507" t="s">
        <v>318</v>
      </c>
    </row>
    <row r="249" spans="2:23">
      <c r="B249" s="505"/>
      <c r="C249" s="506"/>
      <c r="D249" s="506"/>
      <c r="E249" s="506"/>
      <c r="F249" s="506"/>
      <c r="G249" s="506"/>
      <c r="H249" s="506"/>
      <c r="I249" s="506"/>
      <c r="J249" s="506"/>
      <c r="K249" s="506"/>
      <c r="L249" s="506"/>
      <c r="M249" s="506"/>
      <c r="N249" s="506"/>
      <c r="O249" s="506"/>
      <c r="P249" s="506"/>
      <c r="Q249" s="506"/>
      <c r="R249" s="506"/>
      <c r="S249" s="506"/>
      <c r="T249" s="506">
        <v>0</v>
      </c>
      <c r="U249" s="506"/>
      <c r="V249" s="506"/>
      <c r="W249" s="507"/>
    </row>
    <row r="250" spans="2:23">
      <c r="B250" s="505"/>
      <c r="C250" s="506"/>
      <c r="D250" s="506"/>
      <c r="E250" s="506"/>
      <c r="F250" s="506"/>
      <c r="G250" s="506"/>
      <c r="H250" s="506"/>
      <c r="I250" s="506"/>
      <c r="J250" s="506"/>
      <c r="K250" s="506"/>
      <c r="L250" s="506"/>
      <c r="M250" s="506"/>
      <c r="N250" s="506"/>
      <c r="O250" s="506"/>
      <c r="P250" s="506"/>
      <c r="Q250" s="506"/>
      <c r="R250" s="506"/>
      <c r="S250" s="506"/>
      <c r="T250" s="506"/>
      <c r="U250" s="506"/>
      <c r="V250" s="506"/>
      <c r="W250" s="507"/>
    </row>
    <row r="251" spans="2:23" ht="12.75" thickBot="1">
      <c r="B251" s="508" t="s">
        <v>716</v>
      </c>
      <c r="C251" s="509"/>
      <c r="D251" s="509"/>
      <c r="E251" s="509"/>
      <c r="F251" s="509"/>
      <c r="G251" s="509" t="s">
        <v>52</v>
      </c>
      <c r="H251" s="509"/>
      <c r="I251" s="509"/>
      <c r="J251" s="509"/>
      <c r="K251" s="509"/>
      <c r="L251" s="509" t="s">
        <v>53</v>
      </c>
      <c r="M251" s="509"/>
      <c r="N251" s="509">
        <v>0</v>
      </c>
      <c r="O251" s="509" t="s">
        <v>54</v>
      </c>
      <c r="P251" s="509"/>
      <c r="Q251" s="509"/>
      <c r="R251" s="509" t="s">
        <v>717</v>
      </c>
      <c r="S251" s="509"/>
      <c r="T251" s="509"/>
      <c r="U251" s="509">
        <v>10</v>
      </c>
      <c r="V251" s="509"/>
      <c r="W251" s="510"/>
    </row>
    <row r="253" spans="2:23" ht="12.75" thickBot="1"/>
    <row r="254" spans="2:23">
      <c r="B254" s="502">
        <v>0</v>
      </c>
      <c r="C254" s="503" t="s">
        <v>734</v>
      </c>
      <c r="D254" s="503"/>
      <c r="E254" s="503"/>
      <c r="F254" s="503"/>
      <c r="G254" s="503"/>
      <c r="H254" s="503"/>
      <c r="I254" s="503"/>
      <c r="J254" s="503"/>
      <c r="K254" s="503"/>
      <c r="L254" s="503">
        <v>0</v>
      </c>
      <c r="M254" s="503" t="s">
        <v>735</v>
      </c>
      <c r="N254" s="503"/>
      <c r="O254" s="503"/>
      <c r="P254" s="503"/>
      <c r="Q254" s="503"/>
      <c r="R254" s="503">
        <v>0</v>
      </c>
      <c r="S254" s="503" t="s">
        <v>736</v>
      </c>
      <c r="T254" s="503"/>
      <c r="U254" s="503"/>
      <c r="V254" s="503"/>
      <c r="W254" s="504"/>
    </row>
    <row r="255" spans="2:23">
      <c r="B255" s="505" t="s">
        <v>737</v>
      </c>
      <c r="C255" s="506"/>
      <c r="D255" s="506"/>
      <c r="E255" s="506"/>
      <c r="F255" s="506"/>
      <c r="G255" s="506"/>
      <c r="H255" s="506"/>
      <c r="I255" s="506"/>
      <c r="J255" s="506"/>
      <c r="K255" s="506"/>
      <c r="L255" s="506"/>
      <c r="M255" s="506"/>
      <c r="N255" s="506"/>
      <c r="O255" s="506"/>
      <c r="P255" s="506"/>
      <c r="Q255" s="506"/>
      <c r="R255" s="506" t="s">
        <v>393</v>
      </c>
      <c r="S255" s="506"/>
      <c r="T255" s="506" t="s">
        <v>738</v>
      </c>
      <c r="U255" s="506" t="s">
        <v>395</v>
      </c>
      <c r="V255" s="506" t="s">
        <v>739</v>
      </c>
      <c r="W255" s="507" t="s">
        <v>596</v>
      </c>
    </row>
    <row r="256" spans="2:23">
      <c r="B256" s="505" t="s">
        <v>740</v>
      </c>
      <c r="C256" s="506"/>
      <c r="D256" s="506" t="s">
        <v>741</v>
      </c>
      <c r="E256" s="506" t="s">
        <v>742</v>
      </c>
      <c r="F256" s="506"/>
      <c r="G256" s="506" t="s">
        <v>743</v>
      </c>
      <c r="H256" s="506"/>
      <c r="I256" s="506" t="s">
        <v>744</v>
      </c>
      <c r="J256" s="506"/>
      <c r="K256" s="506"/>
      <c r="L256" s="506"/>
      <c r="M256" s="506"/>
      <c r="N256" s="506"/>
      <c r="O256" s="506"/>
      <c r="P256" s="506"/>
      <c r="Q256" s="506"/>
      <c r="R256" s="506"/>
      <c r="S256" s="506"/>
      <c r="T256" s="506"/>
      <c r="U256" s="506"/>
      <c r="V256" s="506"/>
      <c r="W256" s="507"/>
    </row>
    <row r="257" spans="2:23">
      <c r="B257" s="505"/>
      <c r="C257" s="506"/>
      <c r="D257" s="506"/>
      <c r="E257" s="506"/>
      <c r="F257" s="506"/>
      <c r="G257" s="506"/>
      <c r="H257" s="506"/>
      <c r="I257" s="506"/>
      <c r="J257" s="506"/>
      <c r="K257" s="506"/>
      <c r="L257" s="506"/>
      <c r="M257" s="506"/>
      <c r="N257" s="506"/>
      <c r="O257" s="506"/>
      <c r="P257" s="506"/>
      <c r="Q257" s="506"/>
      <c r="R257" s="506"/>
      <c r="S257" s="506"/>
      <c r="T257" s="506"/>
      <c r="U257" s="506"/>
      <c r="V257" s="506"/>
      <c r="W257" s="507"/>
    </row>
    <row r="258" spans="2:23">
      <c r="B258" s="505"/>
      <c r="C258" s="506"/>
      <c r="D258" s="506"/>
      <c r="E258" s="506"/>
      <c r="F258" s="506"/>
      <c r="G258" s="506"/>
      <c r="H258" s="506"/>
      <c r="I258" s="506"/>
      <c r="J258" s="506"/>
      <c r="K258" s="506"/>
      <c r="L258" s="506"/>
      <c r="M258" s="506"/>
      <c r="N258" s="506"/>
      <c r="O258" s="506"/>
      <c r="P258" s="506"/>
      <c r="Q258" s="506"/>
      <c r="R258" s="506"/>
      <c r="S258" s="506"/>
      <c r="T258" s="506"/>
      <c r="U258" s="506"/>
      <c r="V258" s="506"/>
      <c r="W258" s="507"/>
    </row>
    <row r="259" spans="2:23">
      <c r="B259" s="505" t="s">
        <v>745</v>
      </c>
      <c r="C259" s="506"/>
      <c r="D259" s="506"/>
      <c r="E259" s="506"/>
      <c r="F259" s="506"/>
      <c r="G259" s="506" t="s">
        <v>746</v>
      </c>
      <c r="H259" s="506"/>
      <c r="I259" s="506"/>
      <c r="J259" s="506"/>
      <c r="K259" s="506"/>
      <c r="L259" s="506"/>
      <c r="M259" s="506"/>
      <c r="N259" s="506"/>
      <c r="O259" s="506"/>
      <c r="P259" s="506"/>
      <c r="Q259" s="506"/>
      <c r="R259" s="506"/>
      <c r="S259" s="506"/>
      <c r="T259" s="506"/>
      <c r="U259" s="506"/>
      <c r="V259" s="506"/>
      <c r="W259" s="507"/>
    </row>
    <row r="260" spans="2:23">
      <c r="B260" s="505"/>
      <c r="C260" s="506"/>
      <c r="D260" s="506"/>
      <c r="E260" s="506"/>
      <c r="F260" s="506"/>
      <c r="G260" s="506" t="s">
        <v>747</v>
      </c>
      <c r="H260" s="506"/>
      <c r="I260" s="506"/>
      <c r="J260" s="506"/>
      <c r="K260" s="506"/>
      <c r="L260" s="506"/>
      <c r="M260" s="506"/>
      <c r="N260" s="506"/>
      <c r="O260" s="506"/>
      <c r="P260" s="506"/>
      <c r="Q260" s="506"/>
      <c r="R260" s="506"/>
      <c r="S260" s="506"/>
      <c r="T260" s="506"/>
      <c r="U260" s="506"/>
      <c r="V260" s="506"/>
      <c r="W260" s="507"/>
    </row>
    <row r="261" spans="2:23">
      <c r="B261" s="505"/>
      <c r="C261" s="506"/>
      <c r="D261" s="506"/>
      <c r="E261" s="506"/>
      <c r="F261" s="506"/>
      <c r="G261" s="506" t="s">
        <v>748</v>
      </c>
      <c r="H261" s="506"/>
      <c r="I261" s="506"/>
      <c r="J261" s="506"/>
      <c r="K261" s="506"/>
      <c r="L261" s="506"/>
      <c r="M261" s="506"/>
      <c r="N261" s="506"/>
      <c r="O261" s="506"/>
      <c r="P261" s="506"/>
      <c r="Q261" s="506"/>
      <c r="R261" s="506"/>
      <c r="S261" s="506"/>
      <c r="T261" s="506"/>
      <c r="U261" s="506"/>
      <c r="V261" s="506"/>
      <c r="W261" s="507"/>
    </row>
    <row r="262" spans="2:23">
      <c r="B262" s="505"/>
      <c r="C262" s="506"/>
      <c r="D262" s="506"/>
      <c r="E262" s="506"/>
      <c r="F262" s="506"/>
      <c r="G262" s="506" t="s">
        <v>749</v>
      </c>
      <c r="H262" s="506"/>
      <c r="I262" s="506"/>
      <c r="J262" s="506"/>
      <c r="K262" s="506"/>
      <c r="L262" s="506"/>
      <c r="M262" s="506"/>
      <c r="N262" s="506"/>
      <c r="O262" s="506"/>
      <c r="P262" s="506"/>
      <c r="Q262" s="506"/>
      <c r="R262" s="506"/>
      <c r="S262" s="506"/>
      <c r="T262" s="506"/>
      <c r="U262" s="506"/>
      <c r="V262" s="506"/>
      <c r="W262" s="507"/>
    </row>
    <row r="263" spans="2:23">
      <c r="B263" s="505"/>
      <c r="C263" s="506"/>
      <c r="D263" s="506"/>
      <c r="E263" s="506"/>
      <c r="F263" s="506"/>
      <c r="G263" s="506" t="s">
        <v>77</v>
      </c>
      <c r="H263" s="506"/>
      <c r="I263" s="506"/>
      <c r="J263" s="506"/>
      <c r="K263" s="506"/>
      <c r="L263" s="506" t="s">
        <v>571</v>
      </c>
      <c r="M263" s="506"/>
      <c r="N263" s="506"/>
      <c r="O263" s="506"/>
      <c r="P263" s="506"/>
      <c r="Q263" s="506"/>
      <c r="R263" s="506"/>
      <c r="S263" s="506"/>
      <c r="T263" s="506"/>
      <c r="U263" s="506"/>
      <c r="V263" s="506"/>
      <c r="W263" s="507"/>
    </row>
    <row r="264" spans="2:23">
      <c r="B264" s="505"/>
      <c r="C264" s="506"/>
      <c r="D264" s="506"/>
      <c r="E264" s="506"/>
      <c r="F264" s="506"/>
      <c r="G264" s="506" t="s">
        <v>750</v>
      </c>
      <c r="H264" s="506"/>
      <c r="I264" s="506"/>
      <c r="J264" s="506"/>
      <c r="K264" s="506"/>
      <c r="L264" s="506" t="s">
        <v>572</v>
      </c>
      <c r="M264" s="506"/>
      <c r="N264" s="506"/>
      <c r="O264" s="506"/>
      <c r="P264" s="506"/>
      <c r="Q264" s="506"/>
      <c r="R264" s="506"/>
      <c r="S264" s="506"/>
      <c r="T264" s="506"/>
      <c r="U264" s="506"/>
      <c r="V264" s="506"/>
      <c r="W264" s="507"/>
    </row>
    <row r="265" spans="2:23">
      <c r="B265" s="505"/>
      <c r="C265" s="506"/>
      <c r="D265" s="506"/>
      <c r="E265" s="506"/>
      <c r="F265" s="506"/>
      <c r="G265" s="506" t="s">
        <v>751</v>
      </c>
      <c r="H265" s="506"/>
      <c r="I265" s="506" t="s">
        <v>752</v>
      </c>
      <c r="J265" s="506"/>
      <c r="K265" s="506"/>
      <c r="L265" s="506" t="s">
        <v>573</v>
      </c>
      <c r="M265" s="506" t="s">
        <v>727</v>
      </c>
      <c r="N265" s="506"/>
      <c r="O265" s="506"/>
      <c r="P265" s="506"/>
      <c r="Q265" s="506"/>
      <c r="R265" s="506"/>
      <c r="S265" s="506"/>
      <c r="T265" s="506"/>
      <c r="U265" s="506"/>
      <c r="V265" s="506"/>
      <c r="W265" s="507"/>
    </row>
    <row r="266" spans="2:23">
      <c r="B266" s="505"/>
      <c r="C266" s="506"/>
      <c r="D266" s="506"/>
      <c r="E266" s="506"/>
      <c r="F266" s="506"/>
      <c r="G266" s="506" t="s">
        <v>553</v>
      </c>
      <c r="H266" s="506" t="s">
        <v>753</v>
      </c>
      <c r="I266" s="506" t="s">
        <v>551</v>
      </c>
      <c r="J266" s="506" t="s">
        <v>552</v>
      </c>
      <c r="K266" s="506"/>
      <c r="L266" s="506" t="s">
        <v>574</v>
      </c>
      <c r="M266" s="506" t="s">
        <v>727</v>
      </c>
      <c r="N266" s="506"/>
      <c r="O266" s="506"/>
      <c r="P266" s="506"/>
      <c r="Q266" s="506"/>
      <c r="R266" s="506"/>
      <c r="S266" s="506"/>
      <c r="T266" s="506"/>
      <c r="U266" s="506"/>
      <c r="V266" s="506"/>
      <c r="W266" s="507"/>
    </row>
    <row r="267" spans="2:23">
      <c r="B267" s="505" t="s">
        <v>754</v>
      </c>
      <c r="C267" s="506"/>
      <c r="D267" s="506"/>
      <c r="E267" s="506"/>
      <c r="F267" s="506"/>
      <c r="G267" s="506" t="s">
        <v>755</v>
      </c>
      <c r="H267" s="506"/>
      <c r="I267" s="506"/>
      <c r="J267" s="506"/>
      <c r="K267" s="506"/>
      <c r="L267" s="506" t="s">
        <v>622</v>
      </c>
      <c r="M267" s="506" t="s">
        <v>727</v>
      </c>
      <c r="N267" s="506"/>
      <c r="O267" s="506"/>
      <c r="P267" s="506"/>
      <c r="Q267" s="506"/>
      <c r="R267" s="506"/>
      <c r="S267" s="506"/>
      <c r="T267" s="506"/>
      <c r="U267" s="506"/>
      <c r="V267" s="506"/>
      <c r="W267" s="507"/>
    </row>
    <row r="268" spans="2:23">
      <c r="B268" s="505"/>
      <c r="C268" s="506"/>
      <c r="D268" s="506"/>
      <c r="E268" s="506"/>
      <c r="F268" s="506"/>
      <c r="G268" s="506"/>
      <c r="H268" s="506"/>
      <c r="I268" s="506"/>
      <c r="J268" s="506"/>
      <c r="K268" s="506"/>
      <c r="L268" s="506"/>
      <c r="M268" s="506"/>
      <c r="N268" s="506"/>
      <c r="O268" s="506"/>
      <c r="P268" s="506"/>
      <c r="Q268" s="506"/>
      <c r="R268" s="506"/>
      <c r="S268" s="506"/>
      <c r="T268" s="506"/>
      <c r="U268" s="506"/>
      <c r="V268" s="506"/>
      <c r="W268" s="507"/>
    </row>
    <row r="269" spans="2:23">
      <c r="B269" s="505">
        <v>0</v>
      </c>
      <c r="C269" s="506" t="s">
        <v>756</v>
      </c>
      <c r="D269" s="506"/>
      <c r="E269" s="506"/>
      <c r="F269" s="506"/>
      <c r="G269" s="506"/>
      <c r="H269" s="506"/>
      <c r="I269" s="506"/>
      <c r="J269" s="506"/>
      <c r="K269" s="506"/>
      <c r="L269" s="506">
        <v>0</v>
      </c>
      <c r="M269" s="506" t="s">
        <v>757</v>
      </c>
      <c r="N269" s="506"/>
      <c r="O269" s="506"/>
      <c r="P269" s="506"/>
      <c r="Q269" s="506"/>
      <c r="R269" s="506">
        <v>0</v>
      </c>
      <c r="S269" s="506" t="s">
        <v>758</v>
      </c>
      <c r="T269" s="506"/>
      <c r="U269" s="506"/>
      <c r="V269" s="506"/>
      <c r="W269" s="507"/>
    </row>
    <row r="270" spans="2:23">
      <c r="B270" s="505"/>
      <c r="C270" s="506"/>
      <c r="D270" s="506"/>
      <c r="E270" s="506"/>
      <c r="F270" s="506"/>
      <c r="G270" s="506"/>
      <c r="H270" s="506"/>
      <c r="I270" s="506"/>
      <c r="J270" s="506"/>
      <c r="K270" s="506"/>
      <c r="L270" s="506"/>
      <c r="M270" s="506"/>
      <c r="N270" s="506"/>
      <c r="O270" s="506"/>
      <c r="P270" s="506"/>
      <c r="Q270" s="506"/>
      <c r="R270" s="506"/>
      <c r="S270" s="506"/>
      <c r="T270" s="506"/>
      <c r="U270" s="506"/>
      <c r="V270" s="506"/>
      <c r="W270" s="507"/>
    </row>
    <row r="271" spans="2:23">
      <c r="B271" s="505" t="s">
        <v>759</v>
      </c>
      <c r="C271" s="506"/>
      <c r="D271" s="506"/>
      <c r="E271" s="506"/>
      <c r="F271" s="506"/>
      <c r="G271" s="506"/>
      <c r="H271" s="506"/>
      <c r="I271" s="506"/>
      <c r="J271" s="506"/>
      <c r="K271" s="506"/>
      <c r="L271" s="506"/>
      <c r="M271" s="506"/>
      <c r="N271" s="506"/>
      <c r="O271" s="506"/>
      <c r="P271" s="506"/>
      <c r="Q271" s="506"/>
      <c r="R271" s="506"/>
      <c r="S271" s="506"/>
      <c r="T271" s="506"/>
      <c r="U271" s="506"/>
      <c r="V271" s="506"/>
      <c r="W271" s="507"/>
    </row>
    <row r="272" spans="2:23">
      <c r="B272" s="505"/>
      <c r="C272" s="506"/>
      <c r="D272" s="506"/>
      <c r="E272" s="506"/>
      <c r="F272" s="506"/>
      <c r="G272" s="506"/>
      <c r="H272" s="506"/>
      <c r="I272" s="506"/>
      <c r="J272" s="506"/>
      <c r="K272" s="506"/>
      <c r="L272" s="506"/>
      <c r="M272" s="506"/>
      <c r="N272" s="506"/>
      <c r="O272" s="506"/>
      <c r="P272" s="506"/>
      <c r="Q272" s="506"/>
      <c r="R272" s="506"/>
      <c r="S272" s="506"/>
      <c r="T272" s="506"/>
      <c r="U272" s="506"/>
      <c r="V272" s="506"/>
      <c r="W272" s="507"/>
    </row>
    <row r="273" spans="2:23">
      <c r="B273" s="505"/>
      <c r="C273" s="506"/>
      <c r="D273" s="506"/>
      <c r="E273" s="506"/>
      <c r="F273" s="506"/>
      <c r="G273" s="506"/>
      <c r="H273" s="506"/>
      <c r="I273" s="506"/>
      <c r="J273" s="506"/>
      <c r="K273" s="506"/>
      <c r="L273" s="506"/>
      <c r="M273" s="506"/>
      <c r="N273" s="506"/>
      <c r="O273" s="506"/>
      <c r="P273" s="506"/>
      <c r="Q273" s="506"/>
      <c r="R273" s="506"/>
      <c r="S273" s="506"/>
      <c r="T273" s="506"/>
      <c r="U273" s="506"/>
      <c r="V273" s="506"/>
      <c r="W273" s="507"/>
    </row>
    <row r="274" spans="2:23">
      <c r="B274" s="505">
        <v>0</v>
      </c>
      <c r="C274" s="506" t="s">
        <v>760</v>
      </c>
      <c r="D274" s="506"/>
      <c r="E274" s="506"/>
      <c r="F274" s="506"/>
      <c r="G274" s="506" t="s">
        <v>761</v>
      </c>
      <c r="H274" s="506" t="s">
        <v>762</v>
      </c>
      <c r="I274" s="506" t="s">
        <v>763</v>
      </c>
      <c r="J274" s="506"/>
      <c r="K274" s="506"/>
      <c r="L274" s="506"/>
      <c r="M274" s="506"/>
      <c r="N274" s="506"/>
      <c r="O274" s="506"/>
      <c r="P274" s="506"/>
      <c r="Q274" s="506"/>
      <c r="R274" s="506"/>
      <c r="S274" s="506"/>
      <c r="T274" s="506"/>
      <c r="U274" s="506"/>
      <c r="V274" s="506"/>
      <c r="W274" s="507"/>
    </row>
    <row r="275" spans="2:23">
      <c r="B275" s="505" t="s">
        <v>764</v>
      </c>
      <c r="C275" s="506"/>
      <c r="D275" s="506" t="s">
        <v>765</v>
      </c>
      <c r="E275" s="506" t="s">
        <v>189</v>
      </c>
      <c r="F275" s="506" t="s">
        <v>766</v>
      </c>
      <c r="G275" s="506" t="s">
        <v>767</v>
      </c>
      <c r="H275" s="506"/>
      <c r="I275" s="506"/>
      <c r="J275" s="506"/>
      <c r="K275" s="506"/>
      <c r="L275" s="506"/>
      <c r="M275" s="506"/>
      <c r="N275" s="506"/>
      <c r="O275" s="506"/>
      <c r="P275" s="506"/>
      <c r="Q275" s="506"/>
      <c r="R275" s="506"/>
      <c r="S275" s="506"/>
      <c r="T275" s="506"/>
      <c r="U275" s="506"/>
      <c r="V275" s="506"/>
      <c r="W275" s="507"/>
    </row>
    <row r="276" spans="2:23">
      <c r="B276" s="505"/>
      <c r="C276" s="506"/>
      <c r="D276" s="506" t="s">
        <v>740</v>
      </c>
      <c r="E276" s="506">
        <v>0</v>
      </c>
      <c r="F276" s="506">
        <v>0</v>
      </c>
      <c r="G276" s="506"/>
      <c r="H276" s="506"/>
      <c r="I276" s="506"/>
      <c r="J276" s="506"/>
      <c r="K276" s="506"/>
      <c r="L276" s="506"/>
      <c r="M276" s="506"/>
      <c r="N276" s="506"/>
      <c r="O276" s="506"/>
      <c r="P276" s="506"/>
      <c r="Q276" s="506"/>
      <c r="R276" s="506"/>
      <c r="S276" s="506"/>
      <c r="T276" s="506"/>
      <c r="U276" s="506"/>
      <c r="V276" s="506"/>
      <c r="W276" s="507"/>
    </row>
    <row r="277" spans="2:23">
      <c r="B277" s="505"/>
      <c r="C277" s="506"/>
      <c r="D277" s="506" t="s">
        <v>616</v>
      </c>
      <c r="E277" s="506">
        <v>0</v>
      </c>
      <c r="F277" s="506">
        <v>0</v>
      </c>
      <c r="G277" s="506"/>
      <c r="H277" s="506"/>
      <c r="I277" s="506"/>
      <c r="J277" s="506"/>
      <c r="K277" s="506"/>
      <c r="L277" s="506"/>
      <c r="M277" s="506"/>
      <c r="N277" s="506"/>
      <c r="O277" s="506"/>
      <c r="P277" s="506"/>
      <c r="Q277" s="506"/>
      <c r="R277" s="506"/>
      <c r="S277" s="506" t="s">
        <v>768</v>
      </c>
      <c r="T277" s="506"/>
      <c r="U277" s="506"/>
      <c r="V277" s="506"/>
      <c r="W277" s="507"/>
    </row>
    <row r="278" spans="2:23">
      <c r="B278" s="505"/>
      <c r="C278" s="506"/>
      <c r="D278" s="506" t="s">
        <v>769</v>
      </c>
      <c r="E278" s="506">
        <v>0</v>
      </c>
      <c r="F278" s="506">
        <v>0</v>
      </c>
      <c r="G278" s="506"/>
      <c r="H278" s="506"/>
      <c r="I278" s="506"/>
      <c r="J278" s="506"/>
      <c r="K278" s="506"/>
      <c r="L278" s="506"/>
      <c r="M278" s="506"/>
      <c r="N278" s="506"/>
      <c r="O278" s="506"/>
      <c r="P278" s="506"/>
      <c r="Q278" s="506"/>
      <c r="R278" s="506">
        <v>0</v>
      </c>
      <c r="S278" s="506" t="s">
        <v>770</v>
      </c>
      <c r="T278" s="506"/>
      <c r="U278" s="506"/>
      <c r="V278" s="506"/>
      <c r="W278" s="507"/>
    </row>
    <row r="279" spans="2:23">
      <c r="B279" s="505" t="s">
        <v>192</v>
      </c>
      <c r="C279" s="506"/>
      <c r="D279" s="506" t="s">
        <v>771</v>
      </c>
      <c r="E279" s="506"/>
      <c r="F279" s="506"/>
      <c r="G279" s="506" t="s">
        <v>772</v>
      </c>
      <c r="H279" s="506"/>
      <c r="I279" s="506" t="s">
        <v>773</v>
      </c>
      <c r="J279" s="506"/>
      <c r="K279" s="506"/>
      <c r="L279" s="506" t="s">
        <v>774</v>
      </c>
      <c r="M279" s="506" t="s">
        <v>727</v>
      </c>
      <c r="N279" s="506"/>
      <c r="O279" s="506"/>
      <c r="P279" s="506"/>
      <c r="Q279" s="506"/>
      <c r="R279" s="506" t="s">
        <v>775</v>
      </c>
      <c r="S279" s="506"/>
      <c r="T279" s="506" t="s">
        <v>771</v>
      </c>
      <c r="U279" s="506" t="s">
        <v>395</v>
      </c>
      <c r="V279" s="506" t="s">
        <v>739</v>
      </c>
      <c r="W279" s="507" t="s">
        <v>596</v>
      </c>
    </row>
    <row r="280" spans="2:23">
      <c r="B280" s="505" t="s">
        <v>776</v>
      </c>
      <c r="C280" s="506"/>
      <c r="D280" s="506"/>
      <c r="E280" s="506"/>
      <c r="F280" s="506"/>
      <c r="G280" s="506"/>
      <c r="H280" s="506"/>
      <c r="I280" s="506"/>
      <c r="J280" s="506"/>
      <c r="K280" s="506"/>
      <c r="L280" s="506" t="s">
        <v>777</v>
      </c>
      <c r="M280" s="506" t="s">
        <v>727</v>
      </c>
      <c r="N280" s="506"/>
      <c r="O280" s="506"/>
      <c r="P280" s="506"/>
      <c r="Q280" s="506"/>
      <c r="R280" s="506"/>
      <c r="S280" s="506"/>
      <c r="T280" s="506"/>
      <c r="U280" s="506"/>
      <c r="V280" s="506"/>
      <c r="W280" s="507"/>
    </row>
    <row r="281" spans="2:23">
      <c r="B281" s="505"/>
      <c r="C281" s="506"/>
      <c r="D281" s="506"/>
      <c r="E281" s="506"/>
      <c r="F281" s="506"/>
      <c r="G281" s="506"/>
      <c r="H281" s="506"/>
      <c r="I281" s="506"/>
      <c r="J281" s="506"/>
      <c r="K281" s="506"/>
      <c r="L281" s="506" t="s">
        <v>778</v>
      </c>
      <c r="M281" s="506" t="s">
        <v>727</v>
      </c>
      <c r="N281" s="506"/>
      <c r="O281" s="506"/>
      <c r="P281" s="506"/>
      <c r="Q281" s="506"/>
      <c r="R281" s="506"/>
      <c r="S281" s="506"/>
      <c r="T281" s="506"/>
      <c r="U281" s="506"/>
      <c r="V281" s="506"/>
      <c r="W281" s="507"/>
    </row>
    <row r="282" spans="2:23">
      <c r="B282" s="505"/>
      <c r="C282" s="506"/>
      <c r="D282" s="506"/>
      <c r="E282" s="506"/>
      <c r="F282" s="506"/>
      <c r="G282" s="506"/>
      <c r="H282" s="506"/>
      <c r="I282" s="506"/>
      <c r="J282" s="506"/>
      <c r="K282" s="506"/>
      <c r="L282" s="506" t="s">
        <v>779</v>
      </c>
      <c r="M282" s="506" t="s">
        <v>727</v>
      </c>
      <c r="N282" s="506"/>
      <c r="O282" s="506"/>
      <c r="P282" s="506"/>
      <c r="Q282" s="506"/>
      <c r="R282" s="506"/>
      <c r="S282" s="506"/>
      <c r="T282" s="506"/>
      <c r="U282" s="506"/>
      <c r="V282" s="506"/>
      <c r="W282" s="507"/>
    </row>
    <row r="283" spans="2:23">
      <c r="B283" s="505"/>
      <c r="C283" s="506"/>
      <c r="D283" s="506"/>
      <c r="E283" s="506"/>
      <c r="F283" s="506"/>
      <c r="G283" s="506"/>
      <c r="H283" s="506"/>
      <c r="I283" s="506"/>
      <c r="J283" s="506"/>
      <c r="K283" s="506"/>
      <c r="L283" s="506" t="s">
        <v>780</v>
      </c>
      <c r="M283" s="506" t="s">
        <v>727</v>
      </c>
      <c r="N283" s="506"/>
      <c r="O283" s="506"/>
      <c r="P283" s="506"/>
      <c r="Q283" s="506"/>
      <c r="R283" s="506"/>
      <c r="S283" s="506"/>
      <c r="T283" s="506"/>
      <c r="U283" s="506"/>
      <c r="V283" s="506"/>
      <c r="W283" s="507"/>
    </row>
    <row r="284" spans="2:23">
      <c r="B284" s="505"/>
      <c r="C284" s="506"/>
      <c r="D284" s="506"/>
      <c r="E284" s="506"/>
      <c r="F284" s="506"/>
      <c r="G284" s="506"/>
      <c r="H284" s="506"/>
      <c r="I284" s="506"/>
      <c r="J284" s="506"/>
      <c r="K284" s="506"/>
      <c r="L284" s="506" t="s">
        <v>781</v>
      </c>
      <c r="M284" s="506"/>
      <c r="N284" s="506"/>
      <c r="O284" s="506"/>
      <c r="P284" s="506"/>
      <c r="Q284" s="506"/>
      <c r="R284" s="506"/>
      <c r="S284" s="506"/>
      <c r="T284" s="506" t="s">
        <v>261</v>
      </c>
      <c r="U284" s="506" t="s">
        <v>316</v>
      </c>
      <c r="V284" s="506" t="s">
        <v>317</v>
      </c>
      <c r="W284" s="507" t="s">
        <v>318</v>
      </c>
    </row>
    <row r="285" spans="2:23">
      <c r="B285" s="505"/>
      <c r="C285" s="506"/>
      <c r="D285" s="506"/>
      <c r="E285" s="506"/>
      <c r="F285" s="506"/>
      <c r="G285" s="506"/>
      <c r="H285" s="506"/>
      <c r="I285" s="506"/>
      <c r="J285" s="506"/>
      <c r="K285" s="506"/>
      <c r="L285" s="506"/>
      <c r="M285" s="506"/>
      <c r="N285" s="506"/>
      <c r="O285" s="506"/>
      <c r="P285" s="506"/>
      <c r="Q285" s="506"/>
      <c r="R285" s="506"/>
      <c r="S285" s="506"/>
      <c r="T285" s="506">
        <v>0</v>
      </c>
      <c r="U285" s="506"/>
      <c r="V285" s="506"/>
      <c r="W285" s="507"/>
    </row>
    <row r="286" spans="2:23">
      <c r="B286" s="505"/>
      <c r="C286" s="506"/>
      <c r="D286" s="506"/>
      <c r="E286" s="506"/>
      <c r="F286" s="506"/>
      <c r="G286" s="506"/>
      <c r="H286" s="506"/>
      <c r="I286" s="506"/>
      <c r="J286" s="506"/>
      <c r="K286" s="506"/>
      <c r="L286" s="506"/>
      <c r="M286" s="506"/>
      <c r="N286" s="506"/>
      <c r="O286" s="506"/>
      <c r="P286" s="506"/>
      <c r="Q286" s="506"/>
      <c r="R286" s="506"/>
      <c r="S286" s="506"/>
      <c r="T286" s="506"/>
      <c r="U286" s="506"/>
      <c r="V286" s="506"/>
      <c r="W286" s="507"/>
    </row>
    <row r="287" spans="2:23" ht="12.75" thickBot="1">
      <c r="B287" s="508" t="s">
        <v>782</v>
      </c>
      <c r="C287" s="509"/>
      <c r="D287" s="509"/>
      <c r="E287" s="509"/>
      <c r="F287" s="509"/>
      <c r="G287" s="509" t="s">
        <v>783</v>
      </c>
      <c r="H287" s="509"/>
      <c r="I287" s="509"/>
      <c r="J287" s="509"/>
      <c r="K287" s="509"/>
      <c r="L287" s="509" t="s">
        <v>784</v>
      </c>
      <c r="M287" s="509"/>
      <c r="N287" s="509">
        <v>0</v>
      </c>
      <c r="O287" s="509" t="s">
        <v>785</v>
      </c>
      <c r="P287" s="509"/>
      <c r="Q287" s="509"/>
      <c r="R287" s="509" t="s">
        <v>786</v>
      </c>
      <c r="S287" s="509"/>
      <c r="T287" s="509"/>
      <c r="U287" s="509">
        <v>5</v>
      </c>
      <c r="V287" s="509"/>
      <c r="W287" s="510"/>
    </row>
    <row r="289" spans="2:23" ht="12.75" thickBot="1"/>
    <row r="290" spans="2:23" ht="32.25" customHeight="1">
      <c r="B290" s="502">
        <v>0</v>
      </c>
      <c r="C290" s="503" t="s">
        <v>787</v>
      </c>
      <c r="D290" s="503"/>
      <c r="E290" s="503"/>
      <c r="F290" s="503"/>
      <c r="G290" s="503"/>
      <c r="H290" s="503"/>
      <c r="I290" s="503"/>
      <c r="J290" s="503"/>
      <c r="K290" s="503"/>
      <c r="L290" s="503">
        <v>0</v>
      </c>
      <c r="M290" s="503" t="s">
        <v>788</v>
      </c>
      <c r="N290" s="503"/>
      <c r="O290" s="503"/>
      <c r="P290" s="503"/>
      <c r="Q290" s="503"/>
      <c r="R290" s="503">
        <v>0</v>
      </c>
      <c r="S290" s="503" t="s">
        <v>789</v>
      </c>
      <c r="T290" s="503"/>
      <c r="U290" s="503"/>
      <c r="V290" s="503"/>
      <c r="W290" s="504"/>
    </row>
    <row r="291" spans="2:23" ht="27" customHeight="1">
      <c r="B291" s="505" t="s">
        <v>893</v>
      </c>
      <c r="C291" s="506"/>
      <c r="D291" s="506"/>
      <c r="E291" s="506"/>
      <c r="F291" s="506"/>
      <c r="G291" s="506"/>
      <c r="H291" s="506"/>
      <c r="I291" s="506"/>
      <c r="J291" s="506"/>
      <c r="K291" s="506"/>
      <c r="L291" s="506"/>
      <c r="M291" s="506"/>
      <c r="N291" s="506"/>
      <c r="O291" s="506"/>
      <c r="P291" s="506"/>
      <c r="Q291" s="506"/>
      <c r="R291" s="506" t="s">
        <v>790</v>
      </c>
      <c r="S291" s="506"/>
      <c r="T291" s="506" t="s">
        <v>791</v>
      </c>
      <c r="U291" s="506" t="s">
        <v>792</v>
      </c>
      <c r="V291" s="506" t="s">
        <v>793</v>
      </c>
      <c r="W291" s="507" t="s">
        <v>794</v>
      </c>
    </row>
    <row r="292" spans="2:23" ht="12" customHeight="1">
      <c r="B292" s="505" t="s">
        <v>795</v>
      </c>
      <c r="C292" s="506"/>
      <c r="D292" s="506" t="s">
        <v>796</v>
      </c>
      <c r="E292" s="506" t="s">
        <v>797</v>
      </c>
      <c r="F292" s="506"/>
      <c r="G292" s="506" t="s">
        <v>798</v>
      </c>
      <c r="H292" s="506"/>
      <c r="I292" s="506" t="s">
        <v>799</v>
      </c>
      <c r="J292" s="506"/>
      <c r="K292" s="506"/>
      <c r="L292" s="506"/>
      <c r="M292" s="506"/>
      <c r="N292" s="506"/>
      <c r="O292" s="506"/>
      <c r="P292" s="506"/>
      <c r="Q292" s="506"/>
      <c r="R292" s="506"/>
      <c r="S292" s="506"/>
      <c r="T292" s="506"/>
      <c r="U292" s="506"/>
      <c r="V292" s="506"/>
      <c r="W292" s="507"/>
    </row>
    <row r="293" spans="2:23" ht="12" customHeight="1">
      <c r="B293" s="505"/>
      <c r="C293" s="506"/>
      <c r="D293" s="506"/>
      <c r="E293" s="506"/>
      <c r="F293" s="506"/>
      <c r="G293" s="506"/>
      <c r="H293" s="506"/>
      <c r="I293" s="506"/>
      <c r="J293" s="506"/>
      <c r="K293" s="506"/>
      <c r="L293" s="506"/>
      <c r="M293" s="506"/>
      <c r="N293" s="506"/>
      <c r="O293" s="506"/>
      <c r="P293" s="506"/>
      <c r="Q293" s="506"/>
      <c r="R293" s="506"/>
      <c r="S293" s="506"/>
      <c r="T293" s="506"/>
      <c r="U293" s="506"/>
      <c r="V293" s="506"/>
      <c r="W293" s="507"/>
    </row>
    <row r="294" spans="2:23">
      <c r="B294" s="505"/>
      <c r="C294" s="506"/>
      <c r="D294" s="506"/>
      <c r="E294" s="506"/>
      <c r="F294" s="506"/>
      <c r="G294" s="506"/>
      <c r="H294" s="506"/>
      <c r="I294" s="506"/>
      <c r="J294" s="506"/>
      <c r="K294" s="506"/>
      <c r="L294" s="506"/>
      <c r="M294" s="506"/>
      <c r="N294" s="506"/>
      <c r="O294" s="506"/>
      <c r="P294" s="506"/>
      <c r="Q294" s="506"/>
      <c r="R294" s="506"/>
      <c r="S294" s="506"/>
      <c r="T294" s="506"/>
      <c r="U294" s="506"/>
      <c r="V294" s="506"/>
      <c r="W294" s="507"/>
    </row>
    <row r="295" spans="2:23" ht="18.75" customHeight="1">
      <c r="B295" s="505" t="s">
        <v>800</v>
      </c>
      <c r="C295" s="506"/>
      <c r="D295" s="506"/>
      <c r="E295" s="506"/>
      <c r="F295" s="506"/>
      <c r="G295" s="506" t="s">
        <v>801</v>
      </c>
      <c r="H295" s="506"/>
      <c r="I295" s="506"/>
      <c r="J295" s="506"/>
      <c r="K295" s="506"/>
      <c r="L295" s="506"/>
      <c r="M295" s="506"/>
      <c r="N295" s="506"/>
      <c r="O295" s="506"/>
      <c r="P295" s="506"/>
      <c r="Q295" s="506"/>
      <c r="R295" s="506"/>
      <c r="S295" s="506"/>
      <c r="T295" s="506"/>
      <c r="U295" s="506"/>
      <c r="V295" s="506"/>
      <c r="W295" s="507"/>
    </row>
    <row r="296" spans="2:23" ht="18.75" customHeight="1">
      <c r="B296" s="505"/>
      <c r="C296" s="506"/>
      <c r="D296" s="506"/>
      <c r="E296" s="506"/>
      <c r="F296" s="506"/>
      <c r="G296" s="506" t="s">
        <v>802</v>
      </c>
      <c r="H296" s="506"/>
      <c r="I296" s="506"/>
      <c r="J296" s="506"/>
      <c r="K296" s="506"/>
      <c r="L296" s="506"/>
      <c r="M296" s="506"/>
      <c r="N296" s="506"/>
      <c r="O296" s="506"/>
      <c r="P296" s="506"/>
      <c r="Q296" s="506"/>
      <c r="R296" s="506"/>
      <c r="S296" s="506"/>
      <c r="T296" s="506"/>
      <c r="U296" s="506"/>
      <c r="V296" s="506"/>
      <c r="W296" s="507"/>
    </row>
    <row r="297" spans="2:23" ht="18.75" customHeight="1">
      <c r="B297" s="505"/>
      <c r="C297" s="506"/>
      <c r="D297" s="506"/>
      <c r="E297" s="506"/>
      <c r="F297" s="506"/>
      <c r="G297" s="506" t="s">
        <v>803</v>
      </c>
      <c r="H297" s="506"/>
      <c r="I297" s="506"/>
      <c r="J297" s="506"/>
      <c r="K297" s="506"/>
      <c r="L297" s="506"/>
      <c r="M297" s="506"/>
      <c r="N297" s="506"/>
      <c r="O297" s="506"/>
      <c r="P297" s="506"/>
      <c r="Q297" s="506"/>
      <c r="R297" s="506"/>
      <c r="S297" s="506"/>
      <c r="T297" s="506"/>
      <c r="U297" s="506"/>
      <c r="V297" s="506"/>
      <c r="W297" s="507"/>
    </row>
    <row r="298" spans="2:23" ht="18.75" customHeight="1">
      <c r="B298" s="505"/>
      <c r="C298" s="506"/>
      <c r="D298" s="506"/>
      <c r="E298" s="506"/>
      <c r="F298" s="506"/>
      <c r="G298" s="506" t="s">
        <v>804</v>
      </c>
      <c r="H298" s="506"/>
      <c r="I298" s="506"/>
      <c r="J298" s="506"/>
      <c r="K298" s="506"/>
      <c r="L298" s="506"/>
      <c r="M298" s="506"/>
      <c r="N298" s="506"/>
      <c r="O298" s="506"/>
      <c r="P298" s="506"/>
      <c r="Q298" s="506"/>
      <c r="R298" s="506"/>
      <c r="S298" s="506"/>
      <c r="T298" s="506"/>
      <c r="U298" s="506"/>
      <c r="V298" s="506"/>
      <c r="W298" s="507"/>
    </row>
    <row r="299" spans="2:23" ht="24" customHeight="1">
      <c r="B299" s="505"/>
      <c r="C299" s="506"/>
      <c r="D299" s="506"/>
      <c r="E299" s="506"/>
      <c r="F299" s="506"/>
      <c r="G299" s="506" t="s">
        <v>805</v>
      </c>
      <c r="H299" s="506"/>
      <c r="I299" s="506"/>
      <c r="J299" s="506"/>
      <c r="K299" s="506"/>
      <c r="L299" s="506" t="s">
        <v>571</v>
      </c>
      <c r="M299" s="506" t="s">
        <v>727</v>
      </c>
      <c r="N299" s="506"/>
      <c r="O299" s="506"/>
      <c r="P299" s="506"/>
      <c r="Q299" s="506"/>
      <c r="R299" s="506"/>
      <c r="S299" s="506"/>
      <c r="T299" s="506"/>
      <c r="U299" s="506"/>
      <c r="V299" s="506"/>
      <c r="W299" s="507"/>
    </row>
    <row r="300" spans="2:23" ht="24" customHeight="1">
      <c r="B300" s="505"/>
      <c r="C300" s="506"/>
      <c r="D300" s="506"/>
      <c r="E300" s="506"/>
      <c r="F300" s="506"/>
      <c r="G300" s="506" t="s">
        <v>806</v>
      </c>
      <c r="H300" s="506"/>
      <c r="I300" s="506"/>
      <c r="J300" s="506"/>
      <c r="K300" s="506"/>
      <c r="L300" s="506" t="s">
        <v>572</v>
      </c>
      <c r="M300" s="506" t="s">
        <v>727</v>
      </c>
      <c r="N300" s="506"/>
      <c r="O300" s="506"/>
      <c r="P300" s="506"/>
      <c r="Q300" s="506"/>
      <c r="R300" s="506"/>
      <c r="S300" s="506"/>
      <c r="T300" s="506"/>
      <c r="U300" s="506"/>
      <c r="V300" s="506"/>
      <c r="W300" s="507"/>
    </row>
    <row r="301" spans="2:23" ht="24" customHeight="1">
      <c r="B301" s="505"/>
      <c r="C301" s="506"/>
      <c r="D301" s="506"/>
      <c r="E301" s="506"/>
      <c r="F301" s="506"/>
      <c r="G301" s="506" t="s">
        <v>807</v>
      </c>
      <c r="H301" s="506"/>
      <c r="I301" s="506" t="s">
        <v>808</v>
      </c>
      <c r="J301" s="506"/>
      <c r="K301" s="506"/>
      <c r="L301" s="506" t="s">
        <v>573</v>
      </c>
      <c r="M301" s="506" t="s">
        <v>727</v>
      </c>
      <c r="N301" s="506"/>
      <c r="O301" s="506"/>
      <c r="P301" s="506"/>
      <c r="Q301" s="506"/>
      <c r="R301" s="506"/>
      <c r="S301" s="506"/>
      <c r="T301" s="506"/>
      <c r="U301" s="506"/>
      <c r="V301" s="506"/>
      <c r="W301" s="507"/>
    </row>
    <row r="302" spans="2:23">
      <c r="B302" s="505"/>
      <c r="C302" s="506"/>
      <c r="D302" s="506"/>
      <c r="E302" s="506"/>
      <c r="F302" s="506"/>
      <c r="G302" s="506" t="s">
        <v>545</v>
      </c>
      <c r="H302" s="506" t="s">
        <v>400</v>
      </c>
      <c r="I302" s="506" t="s">
        <v>670</v>
      </c>
      <c r="J302" s="506" t="s">
        <v>809</v>
      </c>
      <c r="K302" s="506"/>
      <c r="L302" s="506" t="s">
        <v>574</v>
      </c>
      <c r="M302" s="506" t="s">
        <v>727</v>
      </c>
      <c r="N302" s="506"/>
      <c r="O302" s="506"/>
      <c r="P302" s="506"/>
      <c r="Q302" s="506"/>
      <c r="R302" s="506"/>
      <c r="S302" s="506"/>
      <c r="T302" s="506"/>
      <c r="U302" s="506"/>
      <c r="V302" s="506"/>
      <c r="W302" s="507"/>
    </row>
    <row r="303" spans="2:23" ht="24" customHeight="1">
      <c r="B303" s="505" t="s">
        <v>810</v>
      </c>
      <c r="C303" s="506"/>
      <c r="D303" s="506"/>
      <c r="E303" s="506"/>
      <c r="F303" s="506"/>
      <c r="G303" s="506" t="s">
        <v>811</v>
      </c>
      <c r="H303" s="506"/>
      <c r="I303" s="506"/>
      <c r="J303" s="506"/>
      <c r="K303" s="506"/>
      <c r="L303" s="506" t="s">
        <v>622</v>
      </c>
      <c r="M303" s="506" t="s">
        <v>727</v>
      </c>
      <c r="N303" s="506"/>
      <c r="O303" s="506"/>
      <c r="P303" s="506"/>
      <c r="Q303" s="506"/>
      <c r="R303" s="506"/>
      <c r="S303" s="506"/>
      <c r="T303" s="506"/>
      <c r="U303" s="506"/>
      <c r="V303" s="506"/>
      <c r="W303" s="507"/>
    </row>
    <row r="304" spans="2:23">
      <c r="B304" s="505"/>
      <c r="C304" s="506"/>
      <c r="D304" s="506"/>
      <c r="E304" s="506"/>
      <c r="F304" s="506"/>
      <c r="G304" s="506"/>
      <c r="H304" s="506"/>
      <c r="I304" s="506"/>
      <c r="J304" s="506"/>
      <c r="K304" s="506"/>
      <c r="L304" s="506"/>
      <c r="M304" s="506"/>
      <c r="N304" s="506"/>
      <c r="O304" s="506"/>
      <c r="P304" s="506"/>
      <c r="Q304" s="506"/>
      <c r="R304" s="506"/>
      <c r="S304" s="506"/>
      <c r="T304" s="506"/>
      <c r="U304" s="506"/>
      <c r="V304" s="506"/>
      <c r="W304" s="507"/>
    </row>
    <row r="305" spans="2:23" ht="32.25" customHeight="1">
      <c r="B305" s="505">
        <v>0</v>
      </c>
      <c r="C305" s="506" t="s">
        <v>812</v>
      </c>
      <c r="D305" s="506"/>
      <c r="E305" s="506"/>
      <c r="F305" s="506"/>
      <c r="G305" s="506"/>
      <c r="H305" s="506"/>
      <c r="I305" s="506"/>
      <c r="J305" s="506"/>
      <c r="K305" s="506"/>
      <c r="L305" s="506">
        <v>0</v>
      </c>
      <c r="M305" s="506" t="s">
        <v>813</v>
      </c>
      <c r="N305" s="506"/>
      <c r="O305" s="506"/>
      <c r="P305" s="506"/>
      <c r="Q305" s="506"/>
      <c r="R305" s="506">
        <v>0</v>
      </c>
      <c r="S305" s="506" t="s">
        <v>814</v>
      </c>
      <c r="T305" s="506"/>
      <c r="U305" s="506"/>
      <c r="V305" s="506"/>
      <c r="W305" s="507"/>
    </row>
    <row r="306" spans="2:23">
      <c r="B306" s="505"/>
      <c r="C306" s="506"/>
      <c r="D306" s="506"/>
      <c r="E306" s="506"/>
      <c r="F306" s="506"/>
      <c r="G306" s="506"/>
      <c r="H306" s="506"/>
      <c r="I306" s="506"/>
      <c r="J306" s="506"/>
      <c r="K306" s="506"/>
      <c r="L306" s="506"/>
      <c r="M306" s="506"/>
      <c r="N306" s="506"/>
      <c r="O306" s="506"/>
      <c r="P306" s="506"/>
      <c r="Q306" s="506"/>
      <c r="R306" s="506"/>
      <c r="S306" s="506"/>
      <c r="T306" s="506"/>
      <c r="U306" s="506"/>
      <c r="V306" s="506"/>
      <c r="W306" s="507"/>
    </row>
    <row r="307" spans="2:23">
      <c r="B307" s="505" t="s">
        <v>815</v>
      </c>
      <c r="C307" s="506"/>
      <c r="D307" s="506"/>
      <c r="E307" s="506"/>
      <c r="F307" s="506"/>
      <c r="G307" s="506"/>
      <c r="H307" s="506"/>
      <c r="I307" s="506"/>
      <c r="J307" s="506"/>
      <c r="K307" s="506"/>
      <c r="L307" s="506"/>
      <c r="M307" s="506"/>
      <c r="N307" s="506"/>
      <c r="O307" s="506"/>
      <c r="P307" s="506"/>
      <c r="Q307" s="506"/>
      <c r="R307" s="506"/>
      <c r="S307" s="506"/>
      <c r="T307" s="506"/>
      <c r="U307" s="506"/>
      <c r="V307" s="506"/>
      <c r="W307" s="507"/>
    </row>
    <row r="308" spans="2:23">
      <c r="B308" s="505"/>
      <c r="C308" s="506"/>
      <c r="D308" s="506"/>
      <c r="E308" s="506"/>
      <c r="F308" s="506"/>
      <c r="G308" s="506"/>
      <c r="H308" s="506"/>
      <c r="I308" s="506"/>
      <c r="J308" s="506"/>
      <c r="K308" s="506"/>
      <c r="L308" s="506"/>
      <c r="M308" s="506"/>
      <c r="N308" s="506"/>
      <c r="O308" s="506"/>
      <c r="P308" s="506"/>
      <c r="Q308" s="506"/>
      <c r="R308" s="506"/>
      <c r="S308" s="506"/>
      <c r="T308" s="506"/>
      <c r="U308" s="506"/>
      <c r="V308" s="506"/>
      <c r="W308" s="507"/>
    </row>
    <row r="309" spans="2:23" ht="12.75" customHeight="1">
      <c r="B309" s="505"/>
      <c r="C309" s="506"/>
      <c r="D309" s="506"/>
      <c r="E309" s="506"/>
      <c r="F309" s="506"/>
      <c r="G309" s="506"/>
      <c r="H309" s="506"/>
      <c r="I309" s="506"/>
      <c r="J309" s="506"/>
      <c r="K309" s="506"/>
      <c r="L309" s="506"/>
      <c r="M309" s="506"/>
      <c r="N309" s="506"/>
      <c r="O309" s="506"/>
      <c r="P309" s="506"/>
      <c r="Q309" s="506"/>
      <c r="R309" s="506"/>
      <c r="S309" s="506"/>
      <c r="T309" s="506"/>
      <c r="U309" s="506"/>
      <c r="V309" s="506"/>
      <c r="W309" s="507"/>
    </row>
    <row r="310" spans="2:23" ht="144.75" customHeight="1">
      <c r="B310" s="505">
        <v>0</v>
      </c>
      <c r="C310" s="506" t="s">
        <v>816</v>
      </c>
      <c r="D310" s="506"/>
      <c r="E310" s="506"/>
      <c r="F310" s="506"/>
      <c r="G310" s="506" t="s">
        <v>725</v>
      </c>
      <c r="H310" s="506" t="s">
        <v>729</v>
      </c>
      <c r="I310" s="506" t="s">
        <v>817</v>
      </c>
      <c r="J310" s="506"/>
      <c r="K310" s="506"/>
      <c r="L310" s="506"/>
      <c r="M310" s="506"/>
      <c r="N310" s="506"/>
      <c r="O310" s="506"/>
      <c r="P310" s="506"/>
      <c r="Q310" s="506"/>
      <c r="R310" s="506"/>
      <c r="S310" s="506"/>
      <c r="T310" s="506"/>
      <c r="U310" s="506"/>
      <c r="V310" s="506"/>
      <c r="W310" s="507"/>
    </row>
    <row r="311" spans="2:23" ht="19.5" customHeight="1">
      <c r="B311" s="505" t="s">
        <v>818</v>
      </c>
      <c r="C311" s="506"/>
      <c r="D311" s="506" t="s">
        <v>819</v>
      </c>
      <c r="E311" s="506" t="s">
        <v>189</v>
      </c>
      <c r="F311" s="506" t="s">
        <v>820</v>
      </c>
      <c r="G311" s="506" t="s">
        <v>821</v>
      </c>
      <c r="H311" s="506"/>
      <c r="I311" s="506"/>
      <c r="J311" s="506"/>
      <c r="K311" s="506"/>
      <c r="L311" s="506"/>
      <c r="M311" s="506"/>
      <c r="N311" s="506"/>
      <c r="O311" s="506"/>
      <c r="P311" s="506"/>
      <c r="Q311" s="506"/>
      <c r="R311" s="506"/>
      <c r="S311" s="506"/>
      <c r="T311" s="506"/>
      <c r="U311" s="506"/>
      <c r="V311" s="506"/>
      <c r="W311" s="507"/>
    </row>
    <row r="312" spans="2:23">
      <c r="B312" s="505"/>
      <c r="C312" s="506"/>
      <c r="D312" s="506" t="s">
        <v>795</v>
      </c>
      <c r="E312" s="506">
        <v>0</v>
      </c>
      <c r="F312" s="506">
        <v>0</v>
      </c>
      <c r="G312" s="506"/>
      <c r="H312" s="506"/>
      <c r="I312" s="506"/>
      <c r="J312" s="506"/>
      <c r="K312" s="506"/>
      <c r="L312" s="506"/>
      <c r="M312" s="506"/>
      <c r="N312" s="506"/>
      <c r="O312" s="506"/>
      <c r="P312" s="506"/>
      <c r="Q312" s="506"/>
      <c r="R312" s="506"/>
      <c r="S312" s="506"/>
      <c r="T312" s="506"/>
      <c r="U312" s="506"/>
      <c r="V312" s="506"/>
      <c r="W312" s="507"/>
    </row>
    <row r="313" spans="2:23" ht="39.75" customHeight="1">
      <c r="B313" s="505"/>
      <c r="C313" s="506"/>
      <c r="D313" s="506" t="s">
        <v>822</v>
      </c>
      <c r="E313" s="506">
        <v>0</v>
      </c>
      <c r="F313" s="506">
        <v>0</v>
      </c>
      <c r="G313" s="506"/>
      <c r="H313" s="506"/>
      <c r="I313" s="506"/>
      <c r="J313" s="506"/>
      <c r="K313" s="506"/>
      <c r="L313" s="506"/>
      <c r="M313" s="506"/>
      <c r="N313" s="506"/>
      <c r="O313" s="506"/>
      <c r="P313" s="506"/>
      <c r="Q313" s="506"/>
      <c r="R313" s="506"/>
      <c r="S313" s="506" t="s">
        <v>823</v>
      </c>
      <c r="T313" s="506"/>
      <c r="U313" s="506"/>
      <c r="V313" s="506"/>
      <c r="W313" s="507"/>
    </row>
    <row r="314" spans="2:23" ht="38.25" customHeight="1">
      <c r="B314" s="505"/>
      <c r="C314" s="506"/>
      <c r="D314" s="506" t="s">
        <v>824</v>
      </c>
      <c r="E314" s="506">
        <v>0</v>
      </c>
      <c r="F314" s="506">
        <v>0</v>
      </c>
      <c r="G314" s="506"/>
      <c r="H314" s="506"/>
      <c r="I314" s="506"/>
      <c r="J314" s="506"/>
      <c r="K314" s="506"/>
      <c r="L314" s="506"/>
      <c r="M314" s="506"/>
      <c r="N314" s="506"/>
      <c r="O314" s="506"/>
      <c r="P314" s="506"/>
      <c r="Q314" s="506"/>
      <c r="R314" s="506">
        <v>0</v>
      </c>
      <c r="S314" s="506" t="s">
        <v>825</v>
      </c>
      <c r="T314" s="506"/>
      <c r="U314" s="506"/>
      <c r="V314" s="506"/>
      <c r="W314" s="507"/>
    </row>
    <row r="315" spans="2:23" ht="39.75" customHeight="1">
      <c r="B315" s="505" t="s">
        <v>192</v>
      </c>
      <c r="C315" s="506"/>
      <c r="D315" s="506" t="s">
        <v>791</v>
      </c>
      <c r="E315" s="506"/>
      <c r="F315" s="506"/>
      <c r="G315" s="506" t="s">
        <v>826</v>
      </c>
      <c r="H315" s="506"/>
      <c r="I315" s="506" t="s">
        <v>827</v>
      </c>
      <c r="J315" s="506"/>
      <c r="K315" s="506"/>
      <c r="L315" s="506" t="s">
        <v>567</v>
      </c>
      <c r="M315" s="506" t="s">
        <v>727</v>
      </c>
      <c r="N315" s="506"/>
      <c r="O315" s="506"/>
      <c r="P315" s="506"/>
      <c r="Q315" s="506"/>
      <c r="R315" s="506" t="s">
        <v>291</v>
      </c>
      <c r="S315" s="506"/>
      <c r="T315" s="506" t="s">
        <v>791</v>
      </c>
      <c r="U315" s="506" t="s">
        <v>792</v>
      </c>
      <c r="V315" s="506" t="s">
        <v>793</v>
      </c>
      <c r="W315" s="507" t="s">
        <v>794</v>
      </c>
    </row>
    <row r="316" spans="2:23" ht="24" customHeight="1">
      <c r="B316" s="505" t="s">
        <v>828</v>
      </c>
      <c r="C316" s="506"/>
      <c r="D316" s="506"/>
      <c r="E316" s="506"/>
      <c r="F316" s="506"/>
      <c r="G316" s="506"/>
      <c r="H316" s="506"/>
      <c r="I316" s="506"/>
      <c r="J316" s="506"/>
      <c r="K316" s="506"/>
      <c r="L316" s="506" t="s">
        <v>568</v>
      </c>
      <c r="M316" s="506" t="s">
        <v>727</v>
      </c>
      <c r="N316" s="506"/>
      <c r="O316" s="506"/>
      <c r="P316" s="506"/>
      <c r="Q316" s="506"/>
      <c r="R316" s="506"/>
      <c r="S316" s="506"/>
      <c r="T316" s="506"/>
      <c r="U316" s="506"/>
      <c r="V316" s="506"/>
      <c r="W316" s="507"/>
    </row>
    <row r="317" spans="2:23">
      <c r="B317" s="505"/>
      <c r="C317" s="506"/>
      <c r="D317" s="506"/>
      <c r="E317" s="506"/>
      <c r="F317" s="506"/>
      <c r="G317" s="506"/>
      <c r="H317" s="506"/>
      <c r="I317" s="506"/>
      <c r="J317" s="506"/>
      <c r="K317" s="506"/>
      <c r="L317" s="506" t="s">
        <v>569</v>
      </c>
      <c r="M317" s="506" t="s">
        <v>727</v>
      </c>
      <c r="N317" s="506"/>
      <c r="O317" s="506"/>
      <c r="P317" s="506"/>
      <c r="Q317" s="506"/>
      <c r="R317" s="506"/>
      <c r="S317" s="506"/>
      <c r="T317" s="506"/>
      <c r="U317" s="506"/>
      <c r="V317" s="506"/>
      <c r="W317" s="507"/>
    </row>
    <row r="318" spans="2:23">
      <c r="B318" s="505"/>
      <c r="C318" s="506"/>
      <c r="D318" s="506"/>
      <c r="E318" s="506"/>
      <c r="F318" s="506"/>
      <c r="G318" s="506"/>
      <c r="H318" s="506"/>
      <c r="I318" s="506"/>
      <c r="J318" s="506"/>
      <c r="K318" s="506"/>
      <c r="L318" s="506" t="s">
        <v>570</v>
      </c>
      <c r="M318" s="506" t="s">
        <v>727</v>
      </c>
      <c r="N318" s="506"/>
      <c r="O318" s="506"/>
      <c r="P318" s="506"/>
      <c r="Q318" s="506"/>
      <c r="R318" s="506"/>
      <c r="S318" s="506"/>
      <c r="T318" s="506"/>
      <c r="U318" s="506"/>
      <c r="V318" s="506"/>
      <c r="W318" s="507"/>
    </row>
    <row r="319" spans="2:23">
      <c r="B319" s="505"/>
      <c r="C319" s="506"/>
      <c r="D319" s="506"/>
      <c r="E319" s="506"/>
      <c r="F319" s="506"/>
      <c r="G319" s="506"/>
      <c r="H319" s="506"/>
      <c r="I319" s="506"/>
      <c r="J319" s="506"/>
      <c r="K319" s="506"/>
      <c r="L319" s="506" t="s">
        <v>619</v>
      </c>
      <c r="M319" s="506" t="s">
        <v>727</v>
      </c>
      <c r="N319" s="506"/>
      <c r="O319" s="506"/>
      <c r="P319" s="506"/>
      <c r="Q319" s="506"/>
      <c r="R319" s="506"/>
      <c r="S319" s="506"/>
      <c r="T319" s="506"/>
      <c r="U319" s="506"/>
      <c r="V319" s="506"/>
      <c r="W319" s="507"/>
    </row>
    <row r="320" spans="2:23" ht="18.75" customHeight="1">
      <c r="B320" s="505"/>
      <c r="C320" s="506"/>
      <c r="D320" s="506"/>
      <c r="E320" s="506"/>
      <c r="F320" s="506"/>
      <c r="G320" s="506"/>
      <c r="H320" s="506"/>
      <c r="I320" s="506"/>
      <c r="J320" s="506"/>
      <c r="K320" s="506"/>
      <c r="L320" s="506" t="s">
        <v>453</v>
      </c>
      <c r="M320" s="506"/>
      <c r="N320" s="506"/>
      <c r="O320" s="506"/>
      <c r="P320" s="506"/>
      <c r="Q320" s="506"/>
      <c r="R320" s="506"/>
      <c r="S320" s="506"/>
      <c r="T320" s="506" t="s">
        <v>261</v>
      </c>
      <c r="U320" s="506" t="s">
        <v>316</v>
      </c>
      <c r="V320" s="506" t="s">
        <v>317</v>
      </c>
      <c r="W320" s="507" t="s">
        <v>318</v>
      </c>
    </row>
    <row r="321" spans="2:23">
      <c r="B321" s="505"/>
      <c r="C321" s="506"/>
      <c r="D321" s="506"/>
      <c r="E321" s="506"/>
      <c r="F321" s="506"/>
      <c r="G321" s="506"/>
      <c r="H321" s="506"/>
      <c r="I321" s="506"/>
      <c r="J321" s="506"/>
      <c r="K321" s="506"/>
      <c r="L321" s="506"/>
      <c r="M321" s="506"/>
      <c r="N321" s="506"/>
      <c r="O321" s="506"/>
      <c r="P321" s="506"/>
      <c r="Q321" s="506"/>
      <c r="R321" s="506"/>
      <c r="S321" s="506"/>
      <c r="T321" s="506">
        <v>0</v>
      </c>
      <c r="U321" s="506"/>
      <c r="V321" s="506"/>
      <c r="W321" s="507"/>
    </row>
    <row r="322" spans="2:23">
      <c r="B322" s="505"/>
      <c r="C322" s="506"/>
      <c r="D322" s="506"/>
      <c r="E322" s="506"/>
      <c r="F322" s="506"/>
      <c r="G322" s="506"/>
      <c r="H322" s="506"/>
      <c r="I322" s="506"/>
      <c r="J322" s="506"/>
      <c r="K322" s="506"/>
      <c r="L322" s="506"/>
      <c r="M322" s="506"/>
      <c r="N322" s="506"/>
      <c r="O322" s="506"/>
      <c r="P322" s="506"/>
      <c r="Q322" s="506"/>
      <c r="R322" s="506"/>
      <c r="S322" s="506"/>
      <c r="T322" s="506"/>
      <c r="U322" s="506"/>
      <c r="V322" s="506"/>
      <c r="W322" s="507"/>
    </row>
    <row r="323" spans="2:23" ht="45.75" customHeight="1" thickBot="1">
      <c r="B323" s="508" t="s">
        <v>829</v>
      </c>
      <c r="C323" s="509"/>
      <c r="D323" s="509"/>
      <c r="E323" s="509"/>
      <c r="F323" s="509"/>
      <c r="G323" s="509" t="s">
        <v>830</v>
      </c>
      <c r="H323" s="509"/>
      <c r="I323" s="509"/>
      <c r="J323" s="509"/>
      <c r="K323" s="509"/>
      <c r="L323" s="509" t="s">
        <v>831</v>
      </c>
      <c r="M323" s="509"/>
      <c r="N323" s="509">
        <v>0</v>
      </c>
      <c r="O323" s="509" t="s">
        <v>832</v>
      </c>
      <c r="P323" s="509"/>
      <c r="Q323" s="509"/>
      <c r="R323" s="509" t="s">
        <v>833</v>
      </c>
      <c r="S323" s="509"/>
      <c r="T323" s="509"/>
      <c r="U323" s="509">
        <v>0</v>
      </c>
      <c r="V323" s="509"/>
      <c r="W323" s="510"/>
    </row>
    <row r="325" spans="2:23" ht="12.75" thickBot="1"/>
    <row r="326" spans="2:23" ht="32.25" customHeight="1">
      <c r="B326" s="502">
        <v>0</v>
      </c>
      <c r="C326" s="503" t="s">
        <v>271</v>
      </c>
      <c r="D326" s="503"/>
      <c r="E326" s="503"/>
      <c r="F326" s="503"/>
      <c r="G326" s="503"/>
      <c r="H326" s="503"/>
      <c r="I326" s="503"/>
      <c r="J326" s="503"/>
      <c r="K326" s="503"/>
      <c r="L326" s="503">
        <v>0</v>
      </c>
      <c r="M326" s="503" t="s">
        <v>834</v>
      </c>
      <c r="N326" s="503"/>
      <c r="O326" s="503"/>
      <c r="P326" s="503"/>
      <c r="Q326" s="503"/>
      <c r="R326" s="503">
        <v>0</v>
      </c>
      <c r="S326" s="503" t="s">
        <v>835</v>
      </c>
      <c r="T326" s="503"/>
      <c r="U326" s="503"/>
      <c r="V326" s="503"/>
      <c r="W326" s="504"/>
    </row>
    <row r="327" spans="2:23" ht="27" customHeight="1">
      <c r="B327" s="505" t="s">
        <v>898</v>
      </c>
      <c r="C327" s="506"/>
      <c r="D327" s="506"/>
      <c r="E327" s="506"/>
      <c r="F327" s="506"/>
      <c r="G327" s="506"/>
      <c r="H327" s="506"/>
      <c r="I327" s="506"/>
      <c r="J327" s="506"/>
      <c r="K327" s="506"/>
      <c r="L327" s="506"/>
      <c r="M327" s="506"/>
      <c r="N327" s="506"/>
      <c r="O327" s="506"/>
      <c r="P327" s="506"/>
      <c r="Q327" s="506"/>
      <c r="R327" s="506" t="s">
        <v>836</v>
      </c>
      <c r="S327" s="506"/>
      <c r="T327" s="506" t="s">
        <v>837</v>
      </c>
      <c r="U327" s="506" t="s">
        <v>838</v>
      </c>
      <c r="V327" s="506" t="s">
        <v>839</v>
      </c>
      <c r="W327" s="507" t="s">
        <v>840</v>
      </c>
    </row>
    <row r="328" spans="2:23" ht="12" customHeight="1">
      <c r="B328" s="505" t="s">
        <v>841</v>
      </c>
      <c r="C328" s="506"/>
      <c r="D328" s="506" t="s">
        <v>842</v>
      </c>
      <c r="E328" s="506" t="s">
        <v>843</v>
      </c>
      <c r="F328" s="506"/>
      <c r="G328" s="506" t="s">
        <v>844</v>
      </c>
      <c r="H328" s="506"/>
      <c r="I328" s="506" t="s">
        <v>845</v>
      </c>
      <c r="J328" s="506"/>
      <c r="K328" s="506"/>
      <c r="L328" s="506"/>
      <c r="M328" s="506"/>
      <c r="N328" s="506"/>
      <c r="O328" s="506"/>
      <c r="P328" s="506"/>
      <c r="Q328" s="506"/>
      <c r="R328" s="506"/>
      <c r="S328" s="506"/>
      <c r="T328" s="506"/>
      <c r="U328" s="506"/>
      <c r="V328" s="506"/>
      <c r="W328" s="507"/>
    </row>
    <row r="329" spans="2:23" ht="12" customHeight="1">
      <c r="B329" s="505"/>
      <c r="C329" s="506"/>
      <c r="D329" s="506"/>
      <c r="E329" s="506"/>
      <c r="F329" s="506"/>
      <c r="G329" s="506"/>
      <c r="H329" s="506"/>
      <c r="I329" s="506"/>
      <c r="J329" s="506"/>
      <c r="K329" s="506"/>
      <c r="L329" s="506"/>
      <c r="M329" s="506"/>
      <c r="N329" s="506"/>
      <c r="O329" s="506"/>
      <c r="P329" s="506"/>
      <c r="Q329" s="506"/>
      <c r="R329" s="506"/>
      <c r="S329" s="506"/>
      <c r="T329" s="506"/>
      <c r="U329" s="506"/>
      <c r="V329" s="506"/>
      <c r="W329" s="507"/>
    </row>
    <row r="330" spans="2:23">
      <c r="B330" s="505"/>
      <c r="C330" s="506"/>
      <c r="D330" s="506"/>
      <c r="E330" s="506"/>
      <c r="F330" s="506"/>
      <c r="G330" s="506"/>
      <c r="H330" s="506"/>
      <c r="I330" s="506"/>
      <c r="J330" s="506"/>
      <c r="K330" s="506"/>
      <c r="L330" s="506"/>
      <c r="M330" s="506"/>
      <c r="N330" s="506"/>
      <c r="O330" s="506"/>
      <c r="P330" s="506"/>
      <c r="Q330" s="506"/>
      <c r="R330" s="506"/>
      <c r="S330" s="506"/>
      <c r="T330" s="506"/>
      <c r="U330" s="506"/>
      <c r="V330" s="506"/>
      <c r="W330" s="507"/>
    </row>
    <row r="331" spans="2:23" ht="19.5" customHeight="1">
      <c r="B331" s="505" t="s">
        <v>846</v>
      </c>
      <c r="C331" s="506"/>
      <c r="D331" s="506"/>
      <c r="E331" s="506"/>
      <c r="F331" s="506"/>
      <c r="G331" s="506" t="s">
        <v>847</v>
      </c>
      <c r="H331" s="506"/>
      <c r="I331" s="506"/>
      <c r="J331" s="506"/>
      <c r="K331" s="506"/>
      <c r="L331" s="506"/>
      <c r="M331" s="506"/>
      <c r="N331" s="506"/>
      <c r="O331" s="506"/>
      <c r="P331" s="506"/>
      <c r="Q331" s="506"/>
      <c r="R331" s="506"/>
      <c r="S331" s="506"/>
      <c r="T331" s="506"/>
      <c r="U331" s="506"/>
      <c r="V331" s="506"/>
      <c r="W331" s="507"/>
    </row>
    <row r="332" spans="2:23" ht="19.5" customHeight="1">
      <c r="B332" s="505"/>
      <c r="C332" s="506"/>
      <c r="D332" s="506"/>
      <c r="E332" s="506"/>
      <c r="F332" s="506"/>
      <c r="G332" s="506" t="s">
        <v>848</v>
      </c>
      <c r="H332" s="506"/>
      <c r="I332" s="506"/>
      <c r="J332" s="506"/>
      <c r="K332" s="506"/>
      <c r="L332" s="506"/>
      <c r="M332" s="506"/>
      <c r="N332" s="506"/>
      <c r="O332" s="506"/>
      <c r="P332" s="506"/>
      <c r="Q332" s="506"/>
      <c r="R332" s="506"/>
      <c r="S332" s="506"/>
      <c r="T332" s="506"/>
      <c r="U332" s="506"/>
      <c r="V332" s="506"/>
      <c r="W332" s="507"/>
    </row>
    <row r="333" spans="2:23" ht="19.5" customHeight="1">
      <c r="B333" s="505"/>
      <c r="C333" s="506"/>
      <c r="D333" s="506"/>
      <c r="E333" s="506"/>
      <c r="F333" s="506"/>
      <c r="G333" s="506" t="s">
        <v>849</v>
      </c>
      <c r="H333" s="506"/>
      <c r="I333" s="506"/>
      <c r="J333" s="506"/>
      <c r="K333" s="506"/>
      <c r="L333" s="506"/>
      <c r="M333" s="506"/>
      <c r="N333" s="506"/>
      <c r="O333" s="506"/>
      <c r="P333" s="506"/>
      <c r="Q333" s="506"/>
      <c r="R333" s="506"/>
      <c r="S333" s="506"/>
      <c r="T333" s="506"/>
      <c r="U333" s="506"/>
      <c r="V333" s="506"/>
      <c r="W333" s="507"/>
    </row>
    <row r="334" spans="2:23" ht="19.5" customHeight="1">
      <c r="B334" s="505"/>
      <c r="C334" s="506"/>
      <c r="D334" s="506"/>
      <c r="E334" s="506"/>
      <c r="F334" s="506"/>
      <c r="G334" s="506" t="s">
        <v>850</v>
      </c>
      <c r="H334" s="506"/>
      <c r="I334" s="506"/>
      <c r="J334" s="506"/>
      <c r="K334" s="506"/>
      <c r="L334" s="506"/>
      <c r="M334" s="506"/>
      <c r="N334" s="506"/>
      <c r="O334" s="506"/>
      <c r="P334" s="506"/>
      <c r="Q334" s="506"/>
      <c r="R334" s="506"/>
      <c r="S334" s="506"/>
      <c r="T334" s="506"/>
      <c r="U334" s="506"/>
      <c r="V334" s="506"/>
      <c r="W334" s="507"/>
    </row>
    <row r="335" spans="2:23" ht="24" customHeight="1">
      <c r="B335" s="505"/>
      <c r="C335" s="506"/>
      <c r="D335" s="506"/>
      <c r="E335" s="506"/>
      <c r="F335" s="506"/>
      <c r="G335" s="506" t="s">
        <v>851</v>
      </c>
      <c r="H335" s="506"/>
      <c r="I335" s="506"/>
      <c r="J335" s="506"/>
      <c r="K335" s="506"/>
      <c r="L335" s="506" t="s">
        <v>571</v>
      </c>
      <c r="M335" s="506" t="s">
        <v>727</v>
      </c>
      <c r="N335" s="506"/>
      <c r="O335" s="506"/>
      <c r="P335" s="506"/>
      <c r="Q335" s="506"/>
      <c r="R335" s="506"/>
      <c r="S335" s="506"/>
      <c r="T335" s="506"/>
      <c r="U335" s="506"/>
      <c r="V335" s="506"/>
      <c r="W335" s="507"/>
    </row>
    <row r="336" spans="2:23" ht="24" customHeight="1">
      <c r="B336" s="505"/>
      <c r="C336" s="506"/>
      <c r="D336" s="506"/>
      <c r="E336" s="506"/>
      <c r="F336" s="506"/>
      <c r="G336" s="506" t="s">
        <v>852</v>
      </c>
      <c r="H336" s="506"/>
      <c r="I336" s="506"/>
      <c r="J336" s="506"/>
      <c r="K336" s="506"/>
      <c r="L336" s="506" t="s">
        <v>572</v>
      </c>
      <c r="M336" s="506" t="s">
        <v>727</v>
      </c>
      <c r="N336" s="506"/>
      <c r="O336" s="506"/>
      <c r="P336" s="506"/>
      <c r="Q336" s="506"/>
      <c r="R336" s="506"/>
      <c r="S336" s="506"/>
      <c r="T336" s="506"/>
      <c r="U336" s="506"/>
      <c r="V336" s="506"/>
      <c r="W336" s="507"/>
    </row>
    <row r="337" spans="2:23" ht="24" customHeight="1">
      <c r="B337" s="505"/>
      <c r="C337" s="506"/>
      <c r="D337" s="506"/>
      <c r="E337" s="506"/>
      <c r="F337" s="506"/>
      <c r="G337" s="506" t="s">
        <v>853</v>
      </c>
      <c r="H337" s="506"/>
      <c r="I337" s="506" t="s">
        <v>854</v>
      </c>
      <c r="J337" s="506"/>
      <c r="K337" s="506"/>
      <c r="L337" s="506" t="s">
        <v>573</v>
      </c>
      <c r="M337" s="506" t="s">
        <v>727</v>
      </c>
      <c r="N337" s="506"/>
      <c r="O337" s="506"/>
      <c r="P337" s="506"/>
      <c r="Q337" s="506"/>
      <c r="R337" s="506"/>
      <c r="S337" s="506"/>
      <c r="T337" s="506"/>
      <c r="U337" s="506"/>
      <c r="V337" s="506"/>
      <c r="W337" s="507"/>
    </row>
    <row r="338" spans="2:23" ht="24" customHeight="1">
      <c r="B338" s="505"/>
      <c r="C338" s="506"/>
      <c r="D338" s="506"/>
      <c r="E338" s="506"/>
      <c r="F338" s="506"/>
      <c r="G338" s="506" t="s">
        <v>855</v>
      </c>
      <c r="H338" s="506" t="s">
        <v>856</v>
      </c>
      <c r="I338" s="506" t="s">
        <v>857</v>
      </c>
      <c r="J338" s="506" t="s">
        <v>858</v>
      </c>
      <c r="K338" s="506"/>
      <c r="L338" s="506" t="s">
        <v>574</v>
      </c>
      <c r="M338" s="506" t="s">
        <v>727</v>
      </c>
      <c r="N338" s="506"/>
      <c r="O338" s="506"/>
      <c r="P338" s="506"/>
      <c r="Q338" s="506"/>
      <c r="R338" s="506"/>
      <c r="S338" s="506"/>
      <c r="T338" s="506"/>
      <c r="U338" s="506"/>
      <c r="V338" s="506"/>
      <c r="W338" s="507"/>
    </row>
    <row r="339" spans="2:23" ht="24" customHeight="1">
      <c r="B339" s="505" t="s">
        <v>859</v>
      </c>
      <c r="C339" s="506"/>
      <c r="D339" s="506"/>
      <c r="E339" s="506"/>
      <c r="F339" s="506"/>
      <c r="G339" s="506" t="s">
        <v>860</v>
      </c>
      <c r="H339" s="506"/>
      <c r="I339" s="506"/>
      <c r="J339" s="506"/>
      <c r="K339" s="506"/>
      <c r="L339" s="506" t="s">
        <v>622</v>
      </c>
      <c r="M339" s="506" t="s">
        <v>727</v>
      </c>
      <c r="N339" s="506"/>
      <c r="O339" s="506"/>
      <c r="P339" s="506"/>
      <c r="Q339" s="506"/>
      <c r="R339" s="506"/>
      <c r="S339" s="506"/>
      <c r="T339" s="506"/>
      <c r="U339" s="506"/>
      <c r="V339" s="506"/>
      <c r="W339" s="507"/>
    </row>
    <row r="340" spans="2:23">
      <c r="B340" s="505"/>
      <c r="C340" s="506"/>
      <c r="D340" s="506"/>
      <c r="E340" s="506"/>
      <c r="F340" s="506"/>
      <c r="G340" s="506"/>
      <c r="H340" s="506"/>
      <c r="I340" s="506"/>
      <c r="J340" s="506"/>
      <c r="K340" s="506"/>
      <c r="L340" s="506"/>
      <c r="M340" s="506"/>
      <c r="N340" s="506"/>
      <c r="O340" s="506"/>
      <c r="P340" s="506"/>
      <c r="Q340" s="506"/>
      <c r="R340" s="506"/>
      <c r="S340" s="506"/>
      <c r="T340" s="506"/>
      <c r="U340" s="506"/>
      <c r="V340" s="506"/>
      <c r="W340" s="507"/>
    </row>
    <row r="341" spans="2:23" ht="32.25" customHeight="1">
      <c r="B341" s="505">
        <v>0</v>
      </c>
      <c r="C341" s="506" t="s">
        <v>861</v>
      </c>
      <c r="D341" s="506"/>
      <c r="E341" s="506"/>
      <c r="F341" s="506"/>
      <c r="G341" s="506"/>
      <c r="H341" s="506"/>
      <c r="I341" s="506"/>
      <c r="J341" s="506"/>
      <c r="K341" s="506"/>
      <c r="L341" s="506">
        <v>0</v>
      </c>
      <c r="M341" s="506" t="s">
        <v>862</v>
      </c>
      <c r="N341" s="506"/>
      <c r="O341" s="506"/>
      <c r="P341" s="506"/>
      <c r="Q341" s="506"/>
      <c r="R341" s="506">
        <v>0</v>
      </c>
      <c r="S341" s="506" t="s">
        <v>863</v>
      </c>
      <c r="T341" s="506"/>
      <c r="U341" s="506"/>
      <c r="V341" s="506"/>
      <c r="W341" s="507"/>
    </row>
    <row r="342" spans="2:23">
      <c r="B342" s="505"/>
      <c r="C342" s="506"/>
      <c r="D342" s="506"/>
      <c r="E342" s="506"/>
      <c r="F342" s="506"/>
      <c r="G342" s="506"/>
      <c r="H342" s="506"/>
      <c r="I342" s="506"/>
      <c r="J342" s="506"/>
      <c r="K342" s="506"/>
      <c r="L342" s="506"/>
      <c r="M342" s="506"/>
      <c r="N342" s="506"/>
      <c r="O342" s="506"/>
      <c r="P342" s="506"/>
      <c r="Q342" s="506"/>
      <c r="R342" s="506"/>
      <c r="S342" s="506"/>
      <c r="T342" s="506"/>
      <c r="U342" s="506"/>
      <c r="V342" s="506"/>
      <c r="W342" s="507"/>
    </row>
    <row r="343" spans="2:23">
      <c r="B343" s="505" t="s">
        <v>864</v>
      </c>
      <c r="C343" s="506"/>
      <c r="D343" s="506"/>
      <c r="E343" s="506"/>
      <c r="F343" s="506"/>
      <c r="G343" s="506"/>
      <c r="H343" s="506"/>
      <c r="I343" s="506"/>
      <c r="J343" s="506"/>
      <c r="K343" s="506"/>
      <c r="L343" s="506"/>
      <c r="M343" s="506"/>
      <c r="N343" s="506"/>
      <c r="O343" s="506"/>
      <c r="P343" s="506"/>
      <c r="Q343" s="506"/>
      <c r="R343" s="506"/>
      <c r="S343" s="506"/>
      <c r="T343" s="506"/>
      <c r="U343" s="506"/>
      <c r="V343" s="506"/>
      <c r="W343" s="507"/>
    </row>
    <row r="344" spans="2:23">
      <c r="B344" s="505"/>
      <c r="C344" s="506"/>
      <c r="D344" s="506"/>
      <c r="E344" s="506"/>
      <c r="F344" s="506"/>
      <c r="G344" s="506"/>
      <c r="H344" s="506"/>
      <c r="I344" s="506"/>
      <c r="J344" s="506"/>
      <c r="K344" s="506"/>
      <c r="L344" s="506"/>
      <c r="M344" s="506"/>
      <c r="N344" s="506"/>
      <c r="O344" s="506"/>
      <c r="P344" s="506"/>
      <c r="Q344" s="506"/>
      <c r="R344" s="506"/>
      <c r="S344" s="506"/>
      <c r="T344" s="506"/>
      <c r="U344" s="506"/>
      <c r="V344" s="506"/>
      <c r="W344" s="507"/>
    </row>
    <row r="345" spans="2:23" ht="12.75" customHeight="1">
      <c r="B345" s="505"/>
      <c r="C345" s="506"/>
      <c r="D345" s="506"/>
      <c r="E345" s="506"/>
      <c r="F345" s="506"/>
      <c r="G345" s="506"/>
      <c r="H345" s="506"/>
      <c r="I345" s="506"/>
      <c r="J345" s="506"/>
      <c r="K345" s="506"/>
      <c r="L345" s="506"/>
      <c r="M345" s="506"/>
      <c r="N345" s="506"/>
      <c r="O345" s="506"/>
      <c r="P345" s="506"/>
      <c r="Q345" s="506"/>
      <c r="R345" s="506"/>
      <c r="S345" s="506"/>
      <c r="T345" s="506"/>
      <c r="U345" s="506"/>
      <c r="V345" s="506"/>
      <c r="W345" s="507"/>
    </row>
    <row r="346" spans="2:23">
      <c r="B346" s="505">
        <v>0</v>
      </c>
      <c r="C346" s="506" t="s">
        <v>865</v>
      </c>
      <c r="D346" s="506"/>
      <c r="E346" s="506"/>
      <c r="F346" s="506"/>
      <c r="G346" s="506" t="s">
        <v>866</v>
      </c>
      <c r="H346" s="506" t="s">
        <v>867</v>
      </c>
      <c r="I346" s="506" t="s">
        <v>868</v>
      </c>
      <c r="J346" s="506"/>
      <c r="K346" s="506"/>
      <c r="L346" s="506"/>
      <c r="M346" s="506"/>
      <c r="N346" s="506"/>
      <c r="O346" s="506"/>
      <c r="P346" s="506"/>
      <c r="Q346" s="506"/>
      <c r="R346" s="506"/>
      <c r="S346" s="506"/>
      <c r="T346" s="506"/>
      <c r="U346" s="506"/>
      <c r="V346" s="506"/>
      <c r="W346" s="507"/>
    </row>
    <row r="347" spans="2:23" ht="19.5" customHeight="1">
      <c r="B347" s="505" t="s">
        <v>869</v>
      </c>
      <c r="C347" s="506"/>
      <c r="D347" s="506" t="s">
        <v>870</v>
      </c>
      <c r="E347" s="506">
        <v>0</v>
      </c>
      <c r="F347" s="506" t="s">
        <v>871</v>
      </c>
      <c r="G347" s="506" t="s">
        <v>872</v>
      </c>
      <c r="H347" s="506"/>
      <c r="I347" s="506"/>
      <c r="J347" s="506"/>
      <c r="K347" s="506"/>
      <c r="L347" s="506"/>
      <c r="M347" s="506"/>
      <c r="N347" s="506"/>
      <c r="O347" s="506"/>
      <c r="P347" s="506"/>
      <c r="Q347" s="506"/>
      <c r="R347" s="506"/>
      <c r="S347" s="506"/>
      <c r="T347" s="506"/>
      <c r="U347" s="506"/>
      <c r="V347" s="506"/>
      <c r="W347" s="507"/>
    </row>
    <row r="348" spans="2:23">
      <c r="B348" s="505"/>
      <c r="C348" s="506"/>
      <c r="D348" s="506" t="s">
        <v>873</v>
      </c>
      <c r="E348" s="506">
        <v>0</v>
      </c>
      <c r="F348" s="506">
        <v>0</v>
      </c>
      <c r="G348" s="506"/>
      <c r="H348" s="506"/>
      <c r="I348" s="506"/>
      <c r="J348" s="506"/>
      <c r="K348" s="506"/>
      <c r="L348" s="506"/>
      <c r="M348" s="506"/>
      <c r="N348" s="506"/>
      <c r="O348" s="506"/>
      <c r="P348" s="506"/>
      <c r="Q348" s="506"/>
      <c r="R348" s="506"/>
      <c r="S348" s="506"/>
      <c r="T348" s="506"/>
      <c r="U348" s="506"/>
      <c r="V348" s="506"/>
      <c r="W348" s="507"/>
    </row>
    <row r="349" spans="2:23" ht="20.25" customHeight="1">
      <c r="B349" s="505"/>
      <c r="C349" s="506"/>
      <c r="D349" s="506" t="s">
        <v>874</v>
      </c>
      <c r="E349" s="506">
        <v>0</v>
      </c>
      <c r="F349" s="506">
        <v>0</v>
      </c>
      <c r="G349" s="506"/>
      <c r="H349" s="506"/>
      <c r="I349" s="506"/>
      <c r="J349" s="506"/>
      <c r="K349" s="506"/>
      <c r="L349" s="506"/>
      <c r="M349" s="506"/>
      <c r="N349" s="506"/>
      <c r="O349" s="506"/>
      <c r="P349" s="506"/>
      <c r="Q349" s="506"/>
      <c r="R349" s="506"/>
      <c r="S349" s="506" t="s">
        <v>875</v>
      </c>
      <c r="T349" s="506"/>
      <c r="U349" s="506"/>
      <c r="V349" s="506"/>
      <c r="W349" s="507"/>
    </row>
    <row r="350" spans="2:23">
      <c r="B350" s="505"/>
      <c r="C350" s="506"/>
      <c r="D350" s="506" t="s">
        <v>876</v>
      </c>
      <c r="E350" s="506">
        <v>0</v>
      </c>
      <c r="F350" s="506">
        <v>0</v>
      </c>
      <c r="G350" s="506"/>
      <c r="H350" s="506"/>
      <c r="I350" s="506"/>
      <c r="J350" s="506"/>
      <c r="K350" s="506"/>
      <c r="L350" s="506"/>
      <c r="M350" s="506"/>
      <c r="N350" s="506"/>
      <c r="O350" s="506"/>
      <c r="P350" s="506"/>
      <c r="Q350" s="506"/>
      <c r="R350" s="506">
        <v>0</v>
      </c>
      <c r="S350" s="506" t="s">
        <v>877</v>
      </c>
      <c r="T350" s="506"/>
      <c r="U350" s="506"/>
      <c r="V350" s="506"/>
      <c r="W350" s="507"/>
    </row>
    <row r="351" spans="2:23" ht="39.75" customHeight="1">
      <c r="B351" s="505" t="s">
        <v>192</v>
      </c>
      <c r="C351" s="506"/>
      <c r="D351" s="506" t="s">
        <v>878</v>
      </c>
      <c r="E351" s="506"/>
      <c r="F351" s="506"/>
      <c r="G351" s="506" t="s">
        <v>879</v>
      </c>
      <c r="H351" s="506"/>
      <c r="I351" s="506" t="s">
        <v>880</v>
      </c>
      <c r="J351" s="506"/>
      <c r="K351" s="506"/>
      <c r="L351" s="506" t="s">
        <v>567</v>
      </c>
      <c r="M351" s="506" t="s">
        <v>727</v>
      </c>
      <c r="N351" s="506"/>
      <c r="O351" s="506"/>
      <c r="P351" s="506"/>
      <c r="Q351" s="506"/>
      <c r="R351" s="506">
        <v>0</v>
      </c>
      <c r="S351" s="506"/>
      <c r="T351" s="506" t="s">
        <v>878</v>
      </c>
      <c r="U351" s="506" t="s">
        <v>838</v>
      </c>
      <c r="V351" s="506" t="s">
        <v>881</v>
      </c>
      <c r="W351" s="507" t="s">
        <v>840</v>
      </c>
    </row>
    <row r="352" spans="2:23" ht="24" customHeight="1">
      <c r="B352" s="505" t="s">
        <v>882</v>
      </c>
      <c r="C352" s="506"/>
      <c r="D352" s="506"/>
      <c r="E352" s="506"/>
      <c r="F352" s="506"/>
      <c r="G352" s="506"/>
      <c r="H352" s="506"/>
      <c r="I352" s="506"/>
      <c r="J352" s="506"/>
      <c r="K352" s="506"/>
      <c r="L352" s="506" t="s">
        <v>568</v>
      </c>
      <c r="M352" s="506" t="s">
        <v>727</v>
      </c>
      <c r="N352" s="506"/>
      <c r="O352" s="506"/>
      <c r="P352" s="506"/>
      <c r="Q352" s="506"/>
      <c r="R352" s="506"/>
      <c r="S352" s="506"/>
      <c r="T352" s="506"/>
      <c r="U352" s="506"/>
      <c r="V352" s="506"/>
      <c r="W352" s="507"/>
    </row>
    <row r="353" spans="2:23" ht="24" customHeight="1">
      <c r="B353" s="505"/>
      <c r="C353" s="506"/>
      <c r="D353" s="506"/>
      <c r="E353" s="506"/>
      <c r="F353" s="506"/>
      <c r="G353" s="506"/>
      <c r="H353" s="506"/>
      <c r="I353" s="506"/>
      <c r="J353" s="506"/>
      <c r="K353" s="506"/>
      <c r="L353" s="506" t="s">
        <v>569</v>
      </c>
      <c r="M353" s="506" t="s">
        <v>727</v>
      </c>
      <c r="N353" s="506"/>
      <c r="O353" s="506"/>
      <c r="P353" s="506"/>
      <c r="Q353" s="506"/>
      <c r="R353" s="506"/>
      <c r="S353" s="506"/>
      <c r="T353" s="506"/>
      <c r="U353" s="506"/>
      <c r="V353" s="506"/>
      <c r="W353" s="507"/>
    </row>
    <row r="354" spans="2:23" ht="24" customHeight="1">
      <c r="B354" s="505"/>
      <c r="C354" s="506"/>
      <c r="D354" s="506"/>
      <c r="E354" s="506"/>
      <c r="F354" s="506"/>
      <c r="G354" s="506"/>
      <c r="H354" s="506"/>
      <c r="I354" s="506"/>
      <c r="J354" s="506"/>
      <c r="K354" s="506"/>
      <c r="L354" s="506" t="s">
        <v>570</v>
      </c>
      <c r="M354" s="506" t="s">
        <v>727</v>
      </c>
      <c r="N354" s="506"/>
      <c r="O354" s="506"/>
      <c r="P354" s="506"/>
      <c r="Q354" s="506"/>
      <c r="R354" s="506"/>
      <c r="S354" s="506"/>
      <c r="T354" s="506"/>
      <c r="U354" s="506"/>
      <c r="V354" s="506"/>
      <c r="W354" s="507"/>
    </row>
    <row r="355" spans="2:23" ht="24" customHeight="1">
      <c r="B355" s="505"/>
      <c r="C355" s="506"/>
      <c r="D355" s="506"/>
      <c r="E355" s="506"/>
      <c r="F355" s="506"/>
      <c r="G355" s="506"/>
      <c r="H355" s="506"/>
      <c r="I355" s="506"/>
      <c r="J355" s="506"/>
      <c r="K355" s="506"/>
      <c r="L355" s="506" t="s">
        <v>619</v>
      </c>
      <c r="M355" s="506" t="s">
        <v>727</v>
      </c>
      <c r="N355" s="506"/>
      <c r="O355" s="506"/>
      <c r="P355" s="506"/>
      <c r="Q355" s="506"/>
      <c r="R355" s="506"/>
      <c r="S355" s="506"/>
      <c r="T355" s="506"/>
      <c r="U355" s="506"/>
      <c r="V355" s="506"/>
      <c r="W355" s="507"/>
    </row>
    <row r="356" spans="2:23" ht="18.75" customHeight="1">
      <c r="B356" s="505"/>
      <c r="C356" s="506"/>
      <c r="D356" s="506" t="s">
        <v>883</v>
      </c>
      <c r="E356" s="506"/>
      <c r="F356" s="506"/>
      <c r="G356" s="506"/>
      <c r="H356" s="506"/>
      <c r="I356" s="506"/>
      <c r="J356" s="506"/>
      <c r="K356" s="506"/>
      <c r="L356" s="506" t="s">
        <v>884</v>
      </c>
      <c r="M356" s="506"/>
      <c r="N356" s="506"/>
      <c r="O356" s="506"/>
      <c r="P356" s="506"/>
      <c r="Q356" s="506"/>
      <c r="R356" s="506"/>
      <c r="S356" s="506"/>
      <c r="T356" s="506" t="s">
        <v>261</v>
      </c>
      <c r="U356" s="506">
        <v>0</v>
      </c>
      <c r="V356" s="506">
        <v>0</v>
      </c>
      <c r="W356" s="507">
        <v>0</v>
      </c>
    </row>
    <row r="357" spans="2:23">
      <c r="B357" s="505"/>
      <c r="C357" s="506"/>
      <c r="D357" s="506"/>
      <c r="E357" s="506"/>
      <c r="F357" s="506"/>
      <c r="G357" s="506"/>
      <c r="H357" s="506"/>
      <c r="I357" s="506"/>
      <c r="J357" s="506"/>
      <c r="K357" s="506"/>
      <c r="L357" s="506"/>
      <c r="M357" s="506"/>
      <c r="N357" s="506"/>
      <c r="O357" s="506"/>
      <c r="P357" s="506"/>
      <c r="Q357" s="506"/>
      <c r="R357" s="506"/>
      <c r="S357" s="506"/>
      <c r="T357" s="506">
        <v>0</v>
      </c>
      <c r="U357" s="506"/>
      <c r="V357" s="506"/>
      <c r="W357" s="507"/>
    </row>
    <row r="358" spans="2:23">
      <c r="B358" s="505"/>
      <c r="C358" s="506"/>
      <c r="D358" s="506"/>
      <c r="E358" s="506"/>
      <c r="F358" s="506"/>
      <c r="G358" s="506"/>
      <c r="H358" s="506"/>
      <c r="I358" s="506"/>
      <c r="J358" s="506"/>
      <c r="K358" s="506"/>
      <c r="L358" s="506"/>
      <c r="M358" s="506"/>
      <c r="N358" s="506"/>
      <c r="O358" s="506"/>
      <c r="P358" s="506"/>
      <c r="Q358" s="506"/>
      <c r="R358" s="506"/>
      <c r="S358" s="506"/>
      <c r="T358" s="506"/>
      <c r="U358" s="506"/>
      <c r="V358" s="506"/>
      <c r="W358" s="507"/>
    </row>
    <row r="359" spans="2:23" ht="12.75" thickBot="1">
      <c r="B359" s="508" t="s">
        <v>885</v>
      </c>
      <c r="C359" s="509"/>
      <c r="D359" s="509"/>
      <c r="E359" s="509"/>
      <c r="F359" s="509"/>
      <c r="G359" s="509" t="s">
        <v>886</v>
      </c>
      <c r="H359" s="509"/>
      <c r="I359" s="509"/>
      <c r="J359" s="509"/>
      <c r="K359" s="509"/>
      <c r="L359" s="509" t="s">
        <v>845</v>
      </c>
      <c r="M359" s="509"/>
      <c r="N359" s="509">
        <v>0</v>
      </c>
      <c r="O359" s="509" t="s">
        <v>887</v>
      </c>
      <c r="P359" s="509"/>
      <c r="Q359" s="509"/>
      <c r="R359" s="509" t="s">
        <v>888</v>
      </c>
      <c r="S359" s="509"/>
      <c r="T359" s="509"/>
      <c r="U359" s="509">
        <v>0</v>
      </c>
      <c r="V359" s="509"/>
      <c r="W359" s="510"/>
    </row>
  </sheetData>
  <protectedRanges>
    <protectedRange sqref="A1" name="offener  Bereich_7"/>
    <protectedRange sqref="U32" name="Bereich2_4" securityDescriptor="O:WDG:WDD:(A;;CC;;;S-1-5-21-3372838071-1868916369-4143889494-1499)"/>
    <protectedRange sqref="V32" name="Bereich2_1_2" securityDescriptor="O:WDG:WDD:(A;;CC;;;S-1-5-21-3372838071-1868916369-4143889494-1499)"/>
    <protectedRange sqref="W32" name="Bereich2_2_2" securityDescriptor="O:WDG:WDD:(A;;CC;;;S-1-5-21-3372838071-1868916369-4143889494-1499)"/>
  </protectedRanges>
  <phoneticPr fontId="0" type="noConversion"/>
  <conditionalFormatting sqref="I13 G14:J14">
    <cfRule type="expression" dxfId="11" priority="1" stopIfTrue="1">
      <formula>$A$211=TRUE</formula>
    </cfRule>
  </conditionalFormatting>
  <conditionalFormatting sqref="G13">
    <cfRule type="expression" dxfId="10" priority="2" stopIfTrue="1">
      <formula>$A$212=TRUE</formula>
    </cfRule>
  </conditionalFormatting>
  <conditionalFormatting sqref="T33">
    <cfRule type="cellIs" dxfId="9" priority="3" stopIfTrue="1" operator="equal">
      <formula>0</formula>
    </cfRule>
  </conditionalFormatting>
  <conditionalFormatting sqref="R25:W25">
    <cfRule type="expression" dxfId="8" priority="4" stopIfTrue="1">
      <formula>$A$210=TRUE</formula>
    </cfRule>
  </conditionalFormatting>
  <conditionalFormatting sqref="R35:T35 B2:B3 B17 B22 R2 L17 R26 R17 L2">
    <cfRule type="expression" dxfId="7" priority="5" stopIfTrue="1">
      <formula>$B$216&gt;0</formula>
    </cfRule>
  </conditionalFormatting>
  <conditionalFormatting sqref="U35:W35">
    <cfRule type="cellIs" dxfId="6" priority="6" stopIfTrue="1" operator="between">
      <formula>80</formula>
      <formula>100</formula>
    </cfRule>
    <cfRule type="cellIs" dxfId="5" priority="7" stopIfTrue="1" operator="between">
      <formula>-70</formula>
      <formula>69</formula>
    </cfRule>
    <cfRule type="cellIs" dxfId="4" priority="8" stopIfTrue="1" operator="between">
      <formula>70</formula>
      <formula>80</formula>
    </cfRule>
  </conditionalFormatting>
  <conditionalFormatting sqref="G28:J33 D28:D32 B18:J18 B20:J20 G24:J26 L3 L18 G7:J12 R6:W15 T28:W31 E28:F31">
    <cfRule type="expression" dxfId="3" priority="9" stopIfTrue="1">
      <formula>$A$150=TRUE</formula>
    </cfRule>
  </conditionalFormatting>
  <conditionalFormatting sqref="L32">
    <cfRule type="expression" dxfId="2" priority="10" stopIfTrue="1">
      <formula>OR($M$11&lt;&gt;"",$M$12&lt;&gt;"",$M$13&lt;&gt;"",$M$14&lt;&gt;"")</formula>
    </cfRule>
  </conditionalFormatting>
  <conditionalFormatting sqref="B7:C7">
    <cfRule type="expression" dxfId="1" priority="11" stopIfTrue="1">
      <formula>$A$150=TRUE</formula>
    </cfRule>
  </conditionalFormatting>
  <conditionalFormatting sqref="D7:F7">
    <cfRule type="expression" dxfId="0" priority="12" stopIfTrue="1">
      <formula>$A$150=TRUE</formula>
    </cfRule>
  </conditionalFormatting>
  <dataValidations count="10">
    <dataValidation type="whole" allowBlank="1" showInputMessage="1" showErrorMessage="1" errorTitle="ONLY FOR READING" error="This is 8D evaluation statement in %" promptTitle="ONLY FOR READING" sqref="U35:W35" xr:uid="{00000000-0002-0000-0800-000000000000}">
      <formula1>-2</formula1>
      <formula2>-1</formula2>
    </dataValidation>
    <dataValidation type="whole" allowBlank="1" showInputMessage="1" showErrorMessage="1" errorTitle="WRONG DATA INPUT" error="You shall input the number between 1-10" sqref="U33:W33" xr:uid="{00000000-0002-0000-0800-000001000000}">
      <formula1>1</formula1>
      <formula2>10</formula2>
    </dataValidation>
    <dataValidation type="date" allowBlank="1" showInputMessage="1" showErrorMessage="1" errorTitle="W R O N G    D A T E    F O R M" error="Please correct the date FORM (DD.MM.YYYY)_x000a_example: 12.01.2013" sqref="P35" xr:uid="{00000000-0002-0000-0800-000002000000}">
      <formula1>41365</formula1>
      <formula2>56615</formula2>
    </dataValidation>
    <dataValidation type="decimal" allowBlank="1" showInputMessage="1" showErrorMessage="1" errorTitle="PROTECTED AREA" error="The START DATE is automatically copied from line I6._x000a_You shall not write here." sqref="N35" xr:uid="{00000000-0002-0000-0800-000003000000}">
      <formula1>-2</formula1>
      <formula2>-1</formula2>
    </dataValidation>
    <dataValidation type="whole" allowBlank="1" showInputMessage="1" showErrorMessage="1" errorTitle="PROTECTED AREA" error="You shall input the data in Statistics(D3+D7) sheet" sqref="E24:F26" xr:uid="{00000000-0002-0000-0800-000004000000}">
      <formula1>-2</formula1>
      <formula2>-1</formula2>
    </dataValidation>
    <dataValidation type="whole" allowBlank="1" showInputMessage="1" showErrorMessage="1" errorTitle="wrong number format" error="please input the NUMBER=QUANTITY of rejected parts" sqref="I12:J12" xr:uid="{00000000-0002-0000-0800-000005000000}">
      <formula1>1</formula1>
      <formula2>100000</formula2>
    </dataValidation>
    <dataValidation allowBlank="1" showInputMessage="1" showErrorMessage="1" promptTitle="IT IS" sqref="I7:J7" xr:uid="{00000000-0002-0000-0800-000006000000}"/>
    <dataValidation type="date" allowBlank="1" showInputMessage="1" showErrorMessage="1" errorTitle="W R O N G     D A T E    F O R M" error="Please correct the date FORM (DD.MM.YYYY)_x000a_example: 12.01.2013" promptTitle="please input the date " sqref="I6:J6" xr:uid="{00000000-0002-0000-0800-000007000000}">
      <formula1>41365</formula1>
      <formula2>56615</formula2>
    </dataValidation>
    <dataValidation allowBlank="1" showInputMessage="1" showErrorMessage="1" errorTitle="Should be fullfiled by SQA" sqref="G24:J24" xr:uid="{00000000-0002-0000-0800-000008000000}"/>
    <dataValidation type="list" allowBlank="1" showInputMessage="1" showErrorMessage="1" sqref="W6:W14 W28:W31" xr:uid="{00000000-0002-0000-0800-000009000000}">
      <formula1>$Y$7:$Y$10</formula1>
    </dataValidation>
  </dataValidations>
  <printOptions horizontalCentered="1" verticalCentered="1"/>
  <pageMargins left="0.17" right="0.16" top="0.38" bottom="0.32" header="0.19" footer="0.16"/>
  <pageSetup paperSize="9" scale="10" orientation="landscape" cellComments="asDisplayed" r:id="rId1"/>
  <headerFooter alignWithMargins="0">
    <oddHeader>&amp;L&amp;"Arial,Gras"&amp;16Leadership&amp;C&amp;"Arial,Gras"&amp;26 8D Problem Solving Report&amp;R&amp;22&amp;G</oddHeader>
  </headerFooter>
  <drawing r:id="rId2"/>
  <legacyDrawingHF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
  <dimension ref="A1:F49"/>
  <sheetViews>
    <sheetView topLeftCell="B1" workbookViewId="0">
      <selection activeCell="D10" sqref="D10"/>
    </sheetView>
  </sheetViews>
  <sheetFormatPr baseColWidth="10" defaultColWidth="11.42578125" defaultRowHeight="12.75"/>
  <cols>
    <col min="1" max="1" width="30.7109375" style="34" customWidth="1"/>
    <col min="2" max="2" width="32.140625" customWidth="1"/>
    <col min="3" max="3" width="30.42578125" customWidth="1"/>
    <col min="4" max="4" width="32.5703125" customWidth="1"/>
  </cols>
  <sheetData>
    <row r="1" spans="1:5" ht="13.5" thickBot="1">
      <c r="A1" s="88" t="s">
        <v>615</v>
      </c>
      <c r="B1" s="89"/>
      <c r="C1" s="89"/>
      <c r="D1" s="89"/>
      <c r="E1" s="90"/>
    </row>
    <row r="2" spans="1:5">
      <c r="A2" s="91"/>
      <c r="B2" s="92" t="s">
        <v>228</v>
      </c>
      <c r="C2" s="93" t="s">
        <v>248</v>
      </c>
      <c r="D2" s="94"/>
      <c r="E2" s="30"/>
    </row>
    <row r="3" spans="1:5">
      <c r="A3" s="104" t="s">
        <v>221</v>
      </c>
      <c r="B3" s="108">
        <f>'8D-Report'!$B$2</f>
        <v>2</v>
      </c>
      <c r="C3" s="95"/>
      <c r="D3" s="94"/>
      <c r="E3" s="30"/>
    </row>
    <row r="4" spans="1:5">
      <c r="A4" s="104" t="s">
        <v>222</v>
      </c>
      <c r="B4" s="108">
        <f>'8D-Report'!$B$17</f>
        <v>0</v>
      </c>
      <c r="C4" s="95"/>
      <c r="D4" s="94"/>
      <c r="E4" s="30"/>
    </row>
    <row r="5" spans="1:5">
      <c r="A5" s="104" t="s">
        <v>223</v>
      </c>
      <c r="B5" s="108">
        <f>'8D-Report'!B22</f>
        <v>0</v>
      </c>
      <c r="C5" s="110">
        <f>IF(AND(A19=1,A13=1,D10&gt;0),1,A14)</f>
        <v>0</v>
      </c>
      <c r="D5" s="94"/>
      <c r="E5" s="30"/>
    </row>
    <row r="6" spans="1:5">
      <c r="A6" s="104" t="s">
        <v>224</v>
      </c>
      <c r="B6" s="108">
        <f>'8D-Report'!L17</f>
        <v>0</v>
      </c>
      <c r="C6" s="111">
        <f>A17</f>
        <v>0</v>
      </c>
      <c r="D6" s="94"/>
      <c r="E6" s="30"/>
    </row>
    <row r="7" spans="1:5">
      <c r="A7" s="104" t="s">
        <v>225</v>
      </c>
      <c r="B7" s="108">
        <f>'8D-Report'!L2</f>
        <v>0</v>
      </c>
      <c r="C7" s="111">
        <f>A16</f>
        <v>0</v>
      </c>
      <c r="D7" s="94"/>
      <c r="E7" s="30"/>
    </row>
    <row r="8" spans="1:5" ht="13.5" thickBot="1">
      <c r="A8" s="104" t="s">
        <v>226</v>
      </c>
      <c r="B8" s="108">
        <f>'8D-Report'!R2</f>
        <v>0</v>
      </c>
      <c r="C8" s="110">
        <f>IF(A12&gt;0,1,0)</f>
        <v>0</v>
      </c>
      <c r="D8" s="94"/>
      <c r="E8" s="30"/>
    </row>
    <row r="9" spans="1:5" ht="13.5" thickBot="1">
      <c r="A9" s="104" t="s">
        <v>227</v>
      </c>
      <c r="B9" s="108">
        <f>'8D-Report'!R17</f>
        <v>0</v>
      </c>
      <c r="C9" s="111">
        <f>A21</f>
        <v>0</v>
      </c>
      <c r="D9" s="138">
        <f>IF(A21&gt;0,-2,0)</f>
        <v>0</v>
      </c>
      <c r="E9" s="30"/>
    </row>
    <row r="10" spans="1:5" ht="13.5" thickBot="1">
      <c r="A10" s="105" t="s">
        <v>229</v>
      </c>
      <c r="B10" s="109">
        <f>'8D-Report'!R26</f>
        <v>0</v>
      </c>
      <c r="C10" s="122">
        <f>IF(AND('8D-Report'!T33=0,B8&gt;0),-2,0)</f>
        <v>0</v>
      </c>
      <c r="D10" s="119">
        <f>IF('8D-Report'!A213=TRUE,2,0)</f>
        <v>0</v>
      </c>
      <c r="E10" s="30" t="s">
        <v>236</v>
      </c>
    </row>
    <row r="11" spans="1:5" ht="13.5" thickBot="1">
      <c r="A11" s="96" t="s">
        <v>246</v>
      </c>
      <c r="B11" s="97"/>
      <c r="C11" s="98"/>
      <c r="D11" s="124">
        <f>A12</f>
        <v>0</v>
      </c>
      <c r="E11" s="30" t="s">
        <v>237</v>
      </c>
    </row>
    <row r="12" spans="1:5" ht="13.5" thickBot="1">
      <c r="A12" s="112">
        <f>IF('8D-Report'!$A$214=TRUE,1,0)</f>
        <v>0</v>
      </c>
      <c r="B12" s="913">
        <f>SUM(A12:A14)</f>
        <v>0</v>
      </c>
      <c r="C12" s="98"/>
      <c r="D12" s="123">
        <f>IF(A13=1,2,0)</f>
        <v>0</v>
      </c>
      <c r="E12" s="30" t="s">
        <v>241</v>
      </c>
    </row>
    <row r="13" spans="1:5" ht="13.5" thickBot="1">
      <c r="A13" s="112">
        <f>IF(OR('8D-Report'!$A$204=TRUE,'8D-Report'!$A$214=TRUE),1,0)</f>
        <v>0</v>
      </c>
      <c r="B13" s="914"/>
      <c r="C13" s="98"/>
      <c r="D13" s="94"/>
      <c r="E13" s="30"/>
    </row>
    <row r="14" spans="1:5" ht="13.5" thickBot="1">
      <c r="A14" s="113">
        <f>IF('8D-Report'!$A$205=TRUE,-2,0)</f>
        <v>0</v>
      </c>
      <c r="B14" s="915"/>
      <c r="C14" s="98"/>
      <c r="D14" s="115" t="s">
        <v>249</v>
      </c>
      <c r="E14" s="30"/>
    </row>
    <row r="15" spans="1:5" ht="13.5" thickBot="1">
      <c r="A15" s="99" t="s">
        <v>247</v>
      </c>
      <c r="B15" s="94"/>
      <c r="C15" s="94"/>
      <c r="D15" s="116">
        <f>SUM(B3:C8,B9,B10:C10,D9)</f>
        <v>2</v>
      </c>
      <c r="E15" s="30"/>
    </row>
    <row r="16" spans="1:5">
      <c r="A16" s="106">
        <f>IF('8D-Report'!$A$207=TRUE,2,0)</f>
        <v>0</v>
      </c>
      <c r="B16" s="94"/>
      <c r="C16" s="94"/>
      <c r="D16" s="117">
        <f>IF('8D-Report'!B216=0,D15*5,-100)</f>
        <v>-100</v>
      </c>
      <c r="E16" s="30"/>
    </row>
    <row r="17" spans="1:6" ht="13.5" thickBot="1">
      <c r="A17" s="107">
        <f>IF('8D-Report'!$A$208=TRUE,1,0)</f>
        <v>0</v>
      </c>
      <c r="B17" s="94"/>
      <c r="C17" s="94"/>
      <c r="D17" s="118" t="s">
        <v>245</v>
      </c>
      <c r="E17" s="30"/>
    </row>
    <row r="18" spans="1:6" ht="13.5" thickBot="1">
      <c r="A18" s="100" t="s">
        <v>230</v>
      </c>
      <c r="B18" s="94"/>
      <c r="C18" s="94"/>
      <c r="D18" s="119" t="s">
        <v>238</v>
      </c>
      <c r="E18" s="30"/>
    </row>
    <row r="19" spans="1:6" ht="13.5" thickBot="1">
      <c r="A19" s="114">
        <f>IF('8D-Report'!$A$209=TRUE,1,0)</f>
        <v>0</v>
      </c>
      <c r="B19" s="94"/>
      <c r="C19" s="94"/>
      <c r="D19" s="120" t="s">
        <v>239</v>
      </c>
      <c r="E19" s="30"/>
    </row>
    <row r="20" spans="1:6" ht="13.5" thickBot="1">
      <c r="A20" s="99" t="s">
        <v>231</v>
      </c>
      <c r="B20" s="94"/>
      <c r="C20" s="94"/>
      <c r="D20" s="121" t="s">
        <v>240</v>
      </c>
      <c r="E20" s="30"/>
    </row>
    <row r="21" spans="1:6" ht="13.5" thickBot="1">
      <c r="A21" s="107">
        <f>IF('8D-Report'!$A$210=TRUE,1,0)</f>
        <v>0</v>
      </c>
      <c r="B21" s="94"/>
      <c r="C21" s="94"/>
      <c r="D21" s="94"/>
      <c r="E21" s="30"/>
    </row>
    <row r="22" spans="1:6" ht="13.5" thickBot="1">
      <c r="A22" s="101"/>
      <c r="B22" s="33"/>
      <c r="C22" s="33"/>
      <c r="D22" s="33"/>
      <c r="E22" s="32"/>
    </row>
    <row r="23" spans="1:6" ht="13.5" thickBot="1">
      <c r="A23" s="86"/>
    </row>
    <row r="24" spans="1:6">
      <c r="A24" s="128" t="s">
        <v>596</v>
      </c>
      <c r="B24" s="129"/>
      <c r="C24" s="916">
        <f>SUM(B25:B30)</f>
        <v>0</v>
      </c>
      <c r="D24" s="129"/>
      <c r="E24" s="130"/>
      <c r="F24" s="27"/>
    </row>
    <row r="25" spans="1:6">
      <c r="A25" s="131" t="s">
        <v>221</v>
      </c>
      <c r="B25" s="126">
        <f>IF('8D-Report'!D7&gt;0,10,0)</f>
        <v>0</v>
      </c>
      <c r="C25" s="917"/>
      <c r="D25" s="127"/>
      <c r="E25" s="132"/>
      <c r="F25" s="27"/>
    </row>
    <row r="26" spans="1:6">
      <c r="A26" s="131" t="s">
        <v>223</v>
      </c>
      <c r="B26" s="126">
        <f>IF('8D-Report'!D28&gt;0,40,0)</f>
        <v>0</v>
      </c>
      <c r="C26" s="917"/>
      <c r="D26" s="127"/>
      <c r="E26" s="132"/>
      <c r="F26" s="27"/>
    </row>
    <row r="27" spans="1:6">
      <c r="A27" s="131" t="s">
        <v>225</v>
      </c>
      <c r="B27" s="126">
        <f>IF('8D-Report'!L4&gt;0,10,0)</f>
        <v>0</v>
      </c>
      <c r="C27" s="917"/>
      <c r="D27" s="127"/>
      <c r="E27" s="132"/>
      <c r="F27" s="27"/>
    </row>
    <row r="28" spans="1:6">
      <c r="A28" s="131" t="s">
        <v>226</v>
      </c>
      <c r="B28" s="126">
        <f>IF('8D-Report'!T6&gt;0,30,0)</f>
        <v>0</v>
      </c>
      <c r="C28" s="917"/>
      <c r="D28" s="127"/>
      <c r="E28" s="132"/>
      <c r="F28" s="27"/>
    </row>
    <row r="29" spans="1:6">
      <c r="A29" s="131" t="s">
        <v>227</v>
      </c>
      <c r="B29" s="126"/>
      <c r="C29" s="917"/>
      <c r="D29" s="127"/>
      <c r="E29" s="132"/>
      <c r="F29" s="27"/>
    </row>
    <row r="30" spans="1:6">
      <c r="A30" s="131" t="s">
        <v>229</v>
      </c>
      <c r="B30" s="126">
        <f>IF('8D-Report'!T28&gt;0,10,0)</f>
        <v>0</v>
      </c>
      <c r="C30" s="917"/>
      <c r="D30" s="127"/>
      <c r="E30" s="132"/>
      <c r="F30" s="27"/>
    </row>
    <row r="31" spans="1:6">
      <c r="A31" s="131"/>
      <c r="B31" s="126"/>
      <c r="C31" s="126"/>
      <c r="D31" s="127"/>
      <c r="E31" s="132"/>
      <c r="F31" s="27"/>
    </row>
    <row r="32" spans="1:6">
      <c r="A32" s="133" t="s">
        <v>232</v>
      </c>
      <c r="B32" s="126"/>
      <c r="C32" s="126"/>
      <c r="D32" s="127"/>
      <c r="E32" s="132"/>
    </row>
    <row r="33" spans="1:5">
      <c r="A33" s="134" t="str">
        <f>CONCATENATE('8D-Report'!D28,"                    ",'8D-Report'!D29,"                    ",'8D-Report'!D30,"                    ",'8D-Report'!D31,"                    ",'8D-Report'!D32)</f>
        <v xml:space="preserve">                                                                                </v>
      </c>
      <c r="B33" s="125" t="str">
        <f>CONCATENATE('8D-Report'!G28,"                    ",'8D-Report'!G29,"                    ",'8D-Report'!G30,"                    ",'8D-Report'!G31,"                    ",'8D-Report'!G32)</f>
        <v xml:space="preserve">                                                                                </v>
      </c>
      <c r="C33" s="125" t="str">
        <f>CONCATENATE('8D-Report'!J28,"                    ",'8D-Report'!J29,"                    ",'8D-Report'!J30,"                    ",'8D-Report'!J31,"                    ",'8D-Report'!J32)</f>
        <v xml:space="preserve">                                                                                </v>
      </c>
      <c r="D33" s="127"/>
      <c r="E33" s="132"/>
    </row>
    <row r="34" spans="1:5">
      <c r="A34" s="131"/>
      <c r="B34" s="126"/>
      <c r="C34" s="126"/>
      <c r="D34" s="127"/>
      <c r="E34" s="132"/>
    </row>
    <row r="35" spans="1:5">
      <c r="A35" s="131"/>
      <c r="B35" s="126"/>
      <c r="C35" s="126"/>
      <c r="D35" s="127"/>
      <c r="E35" s="132"/>
    </row>
    <row r="36" spans="1:5">
      <c r="A36" s="131" t="s">
        <v>233</v>
      </c>
      <c r="B36" s="126" t="s">
        <v>595</v>
      </c>
      <c r="C36" s="126" t="s">
        <v>235</v>
      </c>
      <c r="D36" s="126" t="s">
        <v>596</v>
      </c>
      <c r="E36" s="132"/>
    </row>
    <row r="37" spans="1:5" ht="13.5" thickBot="1">
      <c r="A37" s="135" t="str">
        <f>CONCATENATE('8D-Report'!T6,"                    ",'8D-Report'!T8,"                    ",'8D-Report'!T10,"                    ",'8D-Report'!T12,"                    ",'8D-Report'!T15)</f>
        <v xml:space="preserve">                                                                                </v>
      </c>
      <c r="B37" s="136" t="str">
        <f>CONCATENATE('8D-Report'!U6,"                    ",'8D-Report'!U8,"                    ",'8D-Report'!U10,"                    ",'8D-Report'!U12,"                    ",'8D-Report'!U15)</f>
        <v xml:space="preserve">                                                                                </v>
      </c>
      <c r="C37" s="136" t="str">
        <f>CONCATENATE('8D-Report'!V6,"                    ",'8D-Report'!V8,"                    ",'8D-Report'!V10,"                    ",'8D-Report'!V12,"                    ",'8D-Report'!V15)</f>
        <v xml:space="preserve">                                                                                </v>
      </c>
      <c r="D37" s="136" t="str">
        <f>CONCATENATE('8D-Report'!W6,"                    ",'8D-Report'!W8,"                    ",'8D-Report'!W10,"                    ",'8D-Report'!W12,"                    ",'8D-Report'!W15)</f>
        <v xml:space="preserve">                                                                                </v>
      </c>
      <c r="E37" s="137"/>
    </row>
    <row r="38" spans="1:5">
      <c r="A38" s="86"/>
    </row>
    <row r="39" spans="1:5">
      <c r="A39" s="86"/>
    </row>
    <row r="40" spans="1:5">
      <c r="A40" s="86"/>
    </row>
    <row r="41" spans="1:5">
      <c r="A41" s="86"/>
    </row>
    <row r="42" spans="1:5">
      <c r="A42" s="86"/>
    </row>
    <row r="43" spans="1:5">
      <c r="A43" s="86"/>
    </row>
    <row r="44" spans="1:5">
      <c r="A44" s="86"/>
    </row>
    <row r="45" spans="1:5">
      <c r="A45" s="86"/>
    </row>
    <row r="46" spans="1:5">
      <c r="A46" s="86"/>
    </row>
    <row r="47" spans="1:5">
      <c r="A47" s="86"/>
    </row>
    <row r="48" spans="1:5">
      <c r="A48" s="86"/>
    </row>
    <row r="49" spans="1:1">
      <c r="A49" s="87"/>
    </row>
  </sheetData>
  <mergeCells count="2">
    <mergeCell ref="B12:B14"/>
    <mergeCell ref="C24:C30"/>
  </mergeCells>
  <phoneticPr fontId="14" type="noConversion"/>
  <pageMargins left="0.75" right="0.75" top="1" bottom="1" header="0.4921259845" footer="0.4921259845"/>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4">
    <pageSetUpPr fitToPage="1"/>
  </sheetPr>
  <dimension ref="A1:W42"/>
  <sheetViews>
    <sheetView showGridLines="0" view="pageBreakPreview" zoomScale="75" zoomScaleNormal="75" workbookViewId="0">
      <selection activeCell="B35" sqref="B35:F41"/>
    </sheetView>
  </sheetViews>
  <sheetFormatPr baseColWidth="10" defaultColWidth="11.42578125" defaultRowHeight="12.75"/>
  <cols>
    <col min="1" max="1" width="2.140625" style="1" customWidth="1"/>
    <col min="2" max="2" width="21.28515625" style="3" customWidth="1"/>
    <col min="3" max="3" width="74.42578125" style="2" customWidth="1"/>
    <col min="4" max="4" width="15.42578125" style="1" customWidth="1"/>
    <col min="5" max="5" width="14.5703125" style="1" customWidth="1"/>
    <col min="6" max="6" width="11" style="1" customWidth="1"/>
    <col min="7" max="7" width="3.5703125" style="1" customWidth="1"/>
    <col min="8" max="16384" width="11.42578125" style="1"/>
  </cols>
  <sheetData>
    <row r="1" spans="1:23" s="5" customFormat="1" ht="28.5" customHeight="1">
      <c r="A1" s="6"/>
      <c r="B1" s="931" t="s">
        <v>600</v>
      </c>
      <c r="C1" s="931"/>
      <c r="D1" s="931"/>
      <c r="E1" s="931"/>
      <c r="F1" s="931"/>
      <c r="G1" s="6"/>
      <c r="R1" s="4"/>
      <c r="S1" s="4"/>
      <c r="T1" s="4"/>
      <c r="U1" s="4"/>
      <c r="V1" s="4"/>
      <c r="W1" s="4"/>
    </row>
    <row r="2" spans="1:23" s="5" customFormat="1" ht="23.25" customHeight="1">
      <c r="A2" s="6"/>
      <c r="B2" s="932"/>
      <c r="C2" s="933"/>
      <c r="D2" s="933"/>
      <c r="E2" s="933"/>
      <c r="F2" s="934"/>
      <c r="G2" s="6"/>
      <c r="R2" s="4"/>
      <c r="S2" s="4"/>
      <c r="T2" s="4"/>
      <c r="U2" s="4"/>
      <c r="V2" s="4"/>
      <c r="W2" s="4"/>
    </row>
    <row r="3" spans="1:23" s="5" customFormat="1" ht="23.25" customHeight="1">
      <c r="A3" s="6"/>
      <c r="B3" s="935"/>
      <c r="C3" s="936"/>
      <c r="D3" s="936"/>
      <c r="E3" s="936"/>
      <c r="F3" s="937"/>
      <c r="G3" s="6"/>
      <c r="R3" s="4"/>
      <c r="S3" s="4"/>
      <c r="T3" s="4"/>
      <c r="U3" s="4"/>
      <c r="V3" s="4"/>
      <c r="W3" s="4"/>
    </row>
    <row r="4" spans="1:23" s="5" customFormat="1" ht="23.25" customHeight="1">
      <c r="A4" s="6"/>
      <c r="B4" s="935"/>
      <c r="C4" s="936"/>
      <c r="D4" s="936"/>
      <c r="E4" s="936"/>
      <c r="F4" s="937"/>
      <c r="G4" s="6"/>
      <c r="R4" s="4"/>
      <c r="S4" s="4"/>
      <c r="T4" s="4"/>
      <c r="U4" s="4"/>
      <c r="V4" s="4"/>
      <c r="W4" s="4"/>
    </row>
    <row r="5" spans="1:23" s="5" customFormat="1" ht="23.25" customHeight="1">
      <c r="A5" s="6"/>
      <c r="B5" s="935"/>
      <c r="C5" s="936"/>
      <c r="D5" s="936"/>
      <c r="E5" s="936"/>
      <c r="F5" s="937"/>
      <c r="G5" s="6"/>
      <c r="R5" s="4"/>
      <c r="S5" s="4"/>
      <c r="T5" s="4"/>
      <c r="U5" s="4"/>
      <c r="V5" s="4"/>
      <c r="W5" s="4"/>
    </row>
    <row r="6" spans="1:23" s="5" customFormat="1" ht="23.25" customHeight="1">
      <c r="A6" s="6"/>
      <c r="B6" s="935"/>
      <c r="C6" s="936"/>
      <c r="D6" s="936"/>
      <c r="E6" s="936"/>
      <c r="F6" s="937"/>
      <c r="G6" s="6"/>
      <c r="R6" s="4"/>
      <c r="S6" s="4"/>
      <c r="T6" s="4"/>
      <c r="U6" s="4"/>
      <c r="V6" s="4"/>
      <c r="W6" s="4"/>
    </row>
    <row r="7" spans="1:23" s="5" customFormat="1" ht="23.25" customHeight="1">
      <c r="A7" s="6"/>
      <c r="B7" s="935"/>
      <c r="C7" s="936"/>
      <c r="D7" s="936"/>
      <c r="E7" s="936"/>
      <c r="F7" s="937"/>
      <c r="G7" s="6"/>
      <c r="R7" s="4"/>
      <c r="S7" s="4"/>
      <c r="T7" s="4"/>
      <c r="U7" s="4"/>
      <c r="V7" s="4"/>
      <c r="W7" s="4"/>
    </row>
    <row r="8" spans="1:23" s="5" customFormat="1" ht="23.25" customHeight="1">
      <c r="A8" s="6"/>
      <c r="B8" s="935"/>
      <c r="C8" s="936"/>
      <c r="D8" s="936"/>
      <c r="E8" s="936"/>
      <c r="F8" s="937"/>
      <c r="G8" s="6"/>
      <c r="R8" s="4"/>
      <c r="S8" s="4"/>
      <c r="T8" s="4"/>
      <c r="U8" s="4"/>
      <c r="V8" s="4"/>
      <c r="W8" s="4"/>
    </row>
    <row r="9" spans="1:23" s="5" customFormat="1" ht="23.25" customHeight="1">
      <c r="A9" s="6"/>
      <c r="B9" s="935"/>
      <c r="C9" s="936"/>
      <c r="D9" s="936"/>
      <c r="E9" s="936"/>
      <c r="F9" s="937"/>
      <c r="G9" s="6"/>
      <c r="R9" s="4"/>
      <c r="S9" s="4"/>
      <c r="T9" s="4"/>
      <c r="U9" s="4"/>
      <c r="V9" s="4"/>
      <c r="W9" s="4"/>
    </row>
    <row r="10" spans="1:23" s="5" customFormat="1" ht="23.25" customHeight="1">
      <c r="A10" s="6"/>
      <c r="B10" s="935"/>
      <c r="C10" s="936"/>
      <c r="D10" s="936"/>
      <c r="E10" s="936"/>
      <c r="F10" s="937"/>
      <c r="G10" s="6"/>
      <c r="R10" s="4"/>
      <c r="S10" s="4"/>
      <c r="T10" s="4"/>
      <c r="U10" s="4"/>
      <c r="V10" s="4"/>
      <c r="W10" s="4"/>
    </row>
    <row r="11" spans="1:23" s="5" customFormat="1" ht="23.25" customHeight="1">
      <c r="A11" s="6"/>
      <c r="B11" s="935"/>
      <c r="C11" s="936"/>
      <c r="D11" s="936"/>
      <c r="E11" s="936"/>
      <c r="F11" s="937"/>
      <c r="G11" s="6"/>
      <c r="R11" s="4"/>
      <c r="S11" s="4"/>
      <c r="T11" s="4"/>
      <c r="U11" s="4"/>
      <c r="V11" s="4"/>
      <c r="W11" s="4"/>
    </row>
    <row r="12" spans="1:23" s="5" customFormat="1" ht="23.25" customHeight="1">
      <c r="A12" s="6"/>
      <c r="B12" s="935"/>
      <c r="C12" s="936"/>
      <c r="D12" s="936"/>
      <c r="E12" s="936"/>
      <c r="F12" s="937"/>
      <c r="G12" s="6"/>
      <c r="R12" s="4"/>
      <c r="S12" s="4"/>
      <c r="T12" s="4"/>
      <c r="U12" s="4"/>
      <c r="V12" s="4"/>
      <c r="W12" s="4"/>
    </row>
    <row r="13" spans="1:23" s="5" customFormat="1" ht="23.25" customHeight="1">
      <c r="A13" s="6"/>
      <c r="B13" s="935"/>
      <c r="C13" s="936"/>
      <c r="D13" s="936"/>
      <c r="E13" s="936"/>
      <c r="F13" s="937"/>
      <c r="G13" s="6"/>
      <c r="R13" s="4"/>
      <c r="S13" s="4"/>
      <c r="T13" s="4"/>
      <c r="U13" s="4"/>
      <c r="V13" s="4"/>
      <c r="W13" s="4"/>
    </row>
    <row r="14" spans="1:23" s="5" customFormat="1" ht="23.25" customHeight="1">
      <c r="A14" s="6"/>
      <c r="B14" s="935"/>
      <c r="C14" s="936"/>
      <c r="D14" s="936"/>
      <c r="E14" s="936"/>
      <c r="F14" s="937"/>
      <c r="G14" s="6"/>
      <c r="R14" s="4"/>
      <c r="S14" s="4"/>
      <c r="T14" s="4"/>
      <c r="U14" s="4"/>
      <c r="V14" s="4"/>
      <c r="W14" s="4"/>
    </row>
    <row r="15" spans="1:23" s="5" customFormat="1" ht="22.5" customHeight="1">
      <c r="A15" s="6"/>
      <c r="B15" s="938"/>
      <c r="C15" s="939"/>
      <c r="D15" s="939"/>
      <c r="E15" s="939"/>
      <c r="F15" s="940"/>
      <c r="G15" s="6"/>
      <c r="R15" s="4"/>
      <c r="S15" s="4"/>
      <c r="T15" s="4"/>
      <c r="U15" s="4"/>
      <c r="V15" s="4"/>
      <c r="W15" s="4"/>
    </row>
    <row r="16" spans="1:23" s="5" customFormat="1" ht="10.5" customHeight="1">
      <c r="A16" s="6"/>
      <c r="B16" s="9"/>
      <c r="C16" s="9"/>
      <c r="D16" s="9"/>
      <c r="E16" s="9"/>
      <c r="F16" s="9"/>
      <c r="G16" s="6"/>
      <c r="R16" s="4"/>
      <c r="S16" s="4"/>
      <c r="T16" s="4"/>
      <c r="U16" s="4"/>
      <c r="V16" s="4"/>
      <c r="W16" s="4"/>
    </row>
    <row r="17" spans="1:23" s="5" customFormat="1" ht="15" customHeight="1">
      <c r="A17" s="6"/>
      <c r="B17" s="928" t="s">
        <v>602</v>
      </c>
      <c r="C17" s="928"/>
      <c r="D17" s="928"/>
      <c r="E17" s="928"/>
      <c r="F17" s="928"/>
      <c r="G17" s="6"/>
      <c r="R17" s="4"/>
      <c r="S17" s="4"/>
      <c r="T17" s="4"/>
      <c r="U17" s="4"/>
      <c r="V17" s="4"/>
      <c r="W17" s="4"/>
    </row>
    <row r="18" spans="1:23" s="5" customFormat="1" ht="18" customHeight="1">
      <c r="A18" s="6"/>
      <c r="B18" s="941" t="s">
        <v>594</v>
      </c>
      <c r="C18" s="941"/>
      <c r="D18" s="13" t="s">
        <v>599</v>
      </c>
      <c r="E18" s="13" t="s">
        <v>597</v>
      </c>
      <c r="F18" s="13" t="s">
        <v>598</v>
      </c>
      <c r="G18" s="6"/>
      <c r="R18" s="4"/>
      <c r="S18" s="4"/>
      <c r="T18" s="4"/>
      <c r="U18" s="4"/>
      <c r="V18" s="4"/>
      <c r="W18" s="4"/>
    </row>
    <row r="19" spans="1:23" s="5" customFormat="1" ht="23.25" customHeight="1">
      <c r="A19" s="6"/>
      <c r="B19" s="929"/>
      <c r="C19" s="930"/>
      <c r="D19" s="10"/>
      <c r="E19" s="10"/>
      <c r="F19" s="10"/>
      <c r="G19" s="6"/>
      <c r="R19" s="4"/>
      <c r="S19" s="4"/>
      <c r="T19" s="4"/>
      <c r="U19" s="4"/>
      <c r="V19" s="4"/>
      <c r="W19" s="4"/>
    </row>
    <row r="20" spans="1:23" s="5" customFormat="1" ht="23.25" customHeight="1">
      <c r="A20" s="6"/>
      <c r="B20" s="927"/>
      <c r="C20" s="927"/>
      <c r="D20" s="10"/>
      <c r="E20" s="10"/>
      <c r="F20" s="10"/>
      <c r="G20" s="6"/>
      <c r="R20" s="4"/>
      <c r="S20" s="4"/>
      <c r="T20" s="4"/>
      <c r="U20" s="4"/>
      <c r="V20" s="4"/>
      <c r="W20" s="4"/>
    </row>
    <row r="21" spans="1:23" s="5" customFormat="1" ht="23.25" customHeight="1">
      <c r="A21" s="6"/>
      <c r="B21" s="927"/>
      <c r="C21" s="927"/>
      <c r="D21" s="10"/>
      <c r="E21" s="10"/>
      <c r="F21" s="10"/>
      <c r="G21" s="6"/>
      <c r="R21" s="4"/>
      <c r="S21" s="4"/>
      <c r="T21" s="4"/>
      <c r="U21" s="4"/>
      <c r="V21" s="4"/>
      <c r="W21" s="4"/>
    </row>
    <row r="22" spans="1:23" s="5" customFormat="1" ht="23.25" customHeight="1">
      <c r="A22" s="6"/>
      <c r="B22" s="927"/>
      <c r="C22" s="927"/>
      <c r="D22" s="10"/>
      <c r="E22" s="10"/>
      <c r="F22" s="10"/>
      <c r="G22" s="6"/>
      <c r="R22" s="4"/>
      <c r="S22" s="4"/>
      <c r="T22" s="4"/>
      <c r="U22" s="4"/>
      <c r="V22" s="4"/>
      <c r="W22" s="4"/>
    </row>
    <row r="23" spans="1:23" s="5" customFormat="1" ht="23.25" customHeight="1">
      <c r="A23" s="6"/>
      <c r="B23" s="927"/>
      <c r="C23" s="927"/>
      <c r="D23" s="10"/>
      <c r="E23" s="10"/>
      <c r="F23" s="10"/>
      <c r="G23" s="6"/>
      <c r="R23" s="4"/>
      <c r="S23" s="4"/>
      <c r="T23" s="4"/>
      <c r="U23" s="4"/>
      <c r="V23" s="4"/>
      <c r="W23" s="4"/>
    </row>
    <row r="24" spans="1:23" s="5" customFormat="1" ht="23.25" customHeight="1">
      <c r="A24" s="6"/>
      <c r="B24" s="927"/>
      <c r="C24" s="927"/>
      <c r="D24" s="10"/>
      <c r="E24" s="10"/>
      <c r="F24" s="10"/>
      <c r="G24" s="6"/>
      <c r="R24" s="4"/>
      <c r="S24" s="4"/>
      <c r="T24" s="4"/>
      <c r="U24" s="4"/>
      <c r="V24" s="4"/>
      <c r="W24" s="4"/>
    </row>
    <row r="25" spans="1:23" s="5" customFormat="1" ht="23.25" customHeight="1">
      <c r="A25" s="6"/>
      <c r="B25" s="927"/>
      <c r="C25" s="927"/>
      <c r="D25" s="10"/>
      <c r="E25" s="10"/>
      <c r="F25" s="10"/>
      <c r="G25" s="6"/>
      <c r="R25" s="4"/>
      <c r="S25" s="4"/>
      <c r="T25" s="4"/>
      <c r="U25" s="4"/>
      <c r="V25" s="4"/>
      <c r="W25" s="4"/>
    </row>
    <row r="26" spans="1:23" s="5" customFormat="1" ht="23.25" customHeight="1">
      <c r="A26" s="6"/>
      <c r="B26" s="9"/>
      <c r="C26" s="9"/>
      <c r="D26" s="9"/>
      <c r="E26" s="9"/>
      <c r="F26" s="9"/>
      <c r="G26" s="6"/>
      <c r="R26" s="4"/>
      <c r="S26" s="4"/>
      <c r="T26" s="4"/>
      <c r="U26" s="4"/>
      <c r="V26" s="4"/>
      <c r="W26" s="4"/>
    </row>
    <row r="27" spans="1:23">
      <c r="A27" s="7"/>
      <c r="B27" s="928" t="s">
        <v>603</v>
      </c>
      <c r="C27" s="928"/>
      <c r="D27" s="928"/>
      <c r="E27" s="928"/>
      <c r="F27" s="928"/>
      <c r="G27" s="8"/>
    </row>
    <row r="28" spans="1:23" ht="15.75" customHeight="1">
      <c r="A28" s="7"/>
      <c r="B28" s="14"/>
      <c r="C28" s="15"/>
      <c r="D28" s="15"/>
      <c r="E28" s="15"/>
      <c r="F28" s="16"/>
      <c r="G28" s="8"/>
    </row>
    <row r="29" spans="1:23">
      <c r="A29" s="7"/>
      <c r="B29" s="17"/>
      <c r="C29" s="18"/>
      <c r="D29" s="18"/>
      <c r="E29" s="18"/>
      <c r="F29" s="19"/>
      <c r="G29" s="8"/>
    </row>
    <row r="30" spans="1:23">
      <c r="A30" s="7"/>
      <c r="B30" s="20"/>
      <c r="C30" s="21"/>
      <c r="D30" s="21"/>
      <c r="E30" s="21"/>
      <c r="F30" s="22"/>
      <c r="G30" s="8"/>
    </row>
    <row r="31" spans="1:23" ht="15.75" customHeight="1">
      <c r="A31" s="7"/>
      <c r="B31" s="14"/>
      <c r="C31" s="15"/>
      <c r="D31" s="15"/>
      <c r="E31" s="15"/>
      <c r="F31" s="16"/>
      <c r="G31" s="8"/>
    </row>
    <row r="32" spans="1:23">
      <c r="A32" s="7"/>
      <c r="B32" s="17"/>
      <c r="C32" s="18"/>
      <c r="D32" s="18"/>
      <c r="E32" s="18"/>
      <c r="F32" s="19"/>
      <c r="G32" s="8"/>
    </row>
    <row r="33" spans="1:7">
      <c r="A33" s="7"/>
      <c r="B33" s="20"/>
      <c r="C33" s="21"/>
      <c r="D33" s="21"/>
      <c r="E33" s="21"/>
      <c r="F33" s="22"/>
      <c r="G33" s="8"/>
    </row>
    <row r="34" spans="1:7">
      <c r="A34" s="6"/>
      <c r="B34" s="928" t="s">
        <v>601</v>
      </c>
      <c r="C34" s="928"/>
      <c r="D34" s="928"/>
      <c r="E34" s="928"/>
      <c r="F34" s="928"/>
      <c r="G34" s="8"/>
    </row>
    <row r="35" spans="1:7">
      <c r="A35" s="6"/>
      <c r="B35" s="918"/>
      <c r="C35" s="919"/>
      <c r="D35" s="919"/>
      <c r="E35" s="919"/>
      <c r="F35" s="920"/>
      <c r="G35" s="8"/>
    </row>
    <row r="36" spans="1:7">
      <c r="A36" s="6"/>
      <c r="B36" s="921"/>
      <c r="C36" s="922"/>
      <c r="D36" s="922"/>
      <c r="E36" s="922"/>
      <c r="F36" s="923"/>
      <c r="G36" s="8"/>
    </row>
    <row r="37" spans="1:7">
      <c r="A37" s="6"/>
      <c r="B37" s="921"/>
      <c r="C37" s="922"/>
      <c r="D37" s="922"/>
      <c r="E37" s="922"/>
      <c r="F37" s="923"/>
      <c r="G37" s="8"/>
    </row>
    <row r="38" spans="1:7">
      <c r="A38" s="6"/>
      <c r="B38" s="921"/>
      <c r="C38" s="922"/>
      <c r="D38" s="922"/>
      <c r="E38" s="922"/>
      <c r="F38" s="923"/>
      <c r="G38" s="8"/>
    </row>
    <row r="39" spans="1:7">
      <c r="A39" s="6"/>
      <c r="B39" s="921"/>
      <c r="C39" s="922"/>
      <c r="D39" s="922"/>
      <c r="E39" s="922"/>
      <c r="F39" s="923"/>
      <c r="G39" s="8"/>
    </row>
    <row r="40" spans="1:7">
      <c r="A40" s="6"/>
      <c r="B40" s="921"/>
      <c r="C40" s="922"/>
      <c r="D40" s="922"/>
      <c r="E40" s="922"/>
      <c r="F40" s="923"/>
      <c r="G40" s="8"/>
    </row>
    <row r="41" spans="1:7" ht="61.5" customHeight="1">
      <c r="A41" s="6"/>
      <c r="B41" s="924"/>
      <c r="C41" s="925"/>
      <c r="D41" s="925"/>
      <c r="E41" s="925"/>
      <c r="F41" s="926"/>
      <c r="G41" s="8"/>
    </row>
    <row r="42" spans="1:7">
      <c r="A42" s="8"/>
      <c r="B42" s="11"/>
      <c r="C42" s="12"/>
      <c r="D42" s="8"/>
      <c r="E42" s="8"/>
      <c r="F42" s="8"/>
      <c r="G42" s="8"/>
    </row>
  </sheetData>
  <mergeCells count="14">
    <mergeCell ref="B19:C19"/>
    <mergeCell ref="B24:C24"/>
    <mergeCell ref="B1:F1"/>
    <mergeCell ref="B2:F15"/>
    <mergeCell ref="B17:F17"/>
    <mergeCell ref="B18:C18"/>
    <mergeCell ref="B35:F41"/>
    <mergeCell ref="B20:C20"/>
    <mergeCell ref="B21:C21"/>
    <mergeCell ref="B27:F27"/>
    <mergeCell ref="B22:C22"/>
    <mergeCell ref="B23:C23"/>
    <mergeCell ref="B34:F34"/>
    <mergeCell ref="B25:C25"/>
  </mergeCells>
  <phoneticPr fontId="14" type="noConversion"/>
  <pageMargins left="0.19685039370078741" right="0.19685039370078741" top="1.0629921259842521" bottom="0.15748031496062992" header="0.15748031496062992" footer="0.15748031496062992"/>
  <pageSetup paperSize="9" scale="71" orientation="portrait" r:id="rId1"/>
  <headerFooter alignWithMargins="0">
    <oddHeader>&amp;C&amp;"Arial,Gras"&amp;24D1-Scope</oddHeader>
  </headerFooter>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FCP_Reference xmlns="8ed4f120-bf4f-4e41-9067-27b07be0b80c">FAU-F-SPG-4031</FCP_Reference>
    <FCP_Theme xmlns="8ed4f120-bf4f-4e41-9067-27b07be0b80c">122</FCP_Theme>
    <FCP_ReferenceNumber xmlns="8ed4f120-bf4f-4e41-9067-27b07be0b80c">4031</FCP_ReferenceNumber>
    <FCP_Nature xmlns="8ed4f120-bf4f-4e41-9067-27b07be0b80c">Faurecia Documentation</FCP_Nature>
    <FCP_DocumentVersion xmlns="8ed4f120-bf4f-4e41-9067-27b07be0b80c">1</FCP_DocumentVersion>
    <FCP_Scope xmlns="8ed4f120-bf4f-4e41-9067-27b07be0b80c">2</FCP_Scope>
    <FCP_PublicationDate xmlns="8ed4f120-bf4f-4e41-9067-27b07be0b80c">2014-11-25T00:00:00+00:00</FCP_PublicationDate>
    <FCP_OperationalSubSystem xmlns="8ed4f120-bf4f-4e41-9067-27b07be0b80c">3</FCP_OperationalSubSystem>
    <FCP_Language xmlns="8ed4f120-bf4f-4e41-9067-27b07be0b80c">2</FCP_Language>
    <FCP_DocumentOwner xmlns="8ed4f120-bf4f-4e41-9067-27b07be0b80c">15</FCP_DocumentOwner>
    <FCP_Purpose xmlns="8ed4f120-bf4f-4e41-9067-27b07be0b80c">Standardized problem solving methodology after complains in production, logistic,  program and warranty</FCP_Purpose>
    <FCP_DocumentType xmlns="8ed4f120-bf4f-4e41-9067-27b07be0b80c">F - Form</FCP_DocumentType>
    <FCP_KeyProcess xmlns="8ed4f120-bf4f-4e41-9067-27b07be0b80c">9</FCP_KeyProcess>
    <FCP_TrackingHistory xmlns="8ed4f120-bf4f-4e41-9067-27b07be0b80c">&lt;div&gt;&lt;/div&gt;</FCP_TrackingHistory>
    <FCP_Entity xmlns="8ed4f120-bf4f-4e41-9067-27b07be0b80c">2</FCP_Entity>
    <FCP_NewsletterNotification xmlns="8ed4f120-bf4f-4e41-9067-27b07be0b80c">No</FCP_NewsletterNotification>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FCP Master Document" ma:contentTypeID="0x01010003200C3CB1AD465EBEA375FD7E8D34AC00B127A2D88FE1C6468046604F994B1879" ma:contentTypeVersion="4" ma:contentTypeDescription="FCP Master inherits from the 'Document' Content Type" ma:contentTypeScope="" ma:versionID="bc6bb261526795d48d61a9775fa884f8">
  <xsd:schema xmlns:xsd="http://www.w3.org/2001/XMLSchema" xmlns:xs="http://www.w3.org/2001/XMLSchema" xmlns:p="http://schemas.microsoft.com/office/2006/metadata/properties" xmlns:ns2="8ed4f120-bf4f-4e41-9067-27b07be0b80c" targetNamespace="http://schemas.microsoft.com/office/2006/metadata/properties" ma:root="true" ma:fieldsID="aa209346d80ec8aabf0e4496cb1bf698" ns2:_="">
    <xsd:import namespace="8ed4f120-bf4f-4e41-9067-27b07be0b80c"/>
    <xsd:element name="properties">
      <xsd:complexType>
        <xsd:sequence>
          <xsd:element name="documentManagement">
            <xsd:complexType>
              <xsd:all>
                <xsd:element ref="ns2:FCP_Scope"/>
                <xsd:element ref="ns2:FCP_Purpose" minOccurs="0"/>
                <xsd:element ref="ns2:FCP_TrackingHistory" minOccurs="0"/>
                <xsd:element ref="ns2:FCP_PublicationDate"/>
                <xsd:element ref="ns2:FCP_DocumentType"/>
                <xsd:element ref="ns2:FCP_Theme" minOccurs="0"/>
                <xsd:element ref="ns2:FCP_KeyProcess"/>
                <xsd:element ref="ns2:FCP_Entity"/>
                <xsd:element ref="ns2:FCP_Reference" minOccurs="0"/>
                <xsd:element ref="ns2:FCP_ReferenceNumber"/>
                <xsd:element ref="ns2:FCP_OperationalSubSystem"/>
                <xsd:element ref="ns2:FCP_Nature"/>
                <xsd:element ref="ns2:FCP_DocumentVersion"/>
                <xsd:element ref="ns2:FCP_Language"/>
                <xsd:element ref="ns2:FCP_DocumentOwner"/>
                <xsd:element ref="ns2:FCP_NewsletterNotifi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d4f120-bf4f-4e41-9067-27b07be0b80c" elementFormDefault="qualified">
    <xsd:import namespace="http://schemas.microsoft.com/office/2006/documentManagement/types"/>
    <xsd:import namespace="http://schemas.microsoft.com/office/infopath/2007/PartnerControls"/>
    <xsd:element name="FCP_Scope" ma:index="8" ma:displayName="Scope" ma:list="{124c140c-a9cf-4589-bde0-1b805c12fad4}" ma:internalName="FCP_Scope" ma:showField="Title" ma:web="{8ed4f120-bf4f-4e41-9067-27b07be0b80c}">
      <xsd:simpleType>
        <xsd:restriction base="dms:Lookup"/>
      </xsd:simpleType>
    </xsd:element>
    <xsd:element name="FCP_Purpose" ma:index="9" nillable="true" ma:displayName="Purpose" ma:internalName="FCP_Purpose">
      <xsd:simpleType>
        <xsd:restriction base="dms:Text"/>
      </xsd:simpleType>
    </xsd:element>
    <xsd:element name="FCP_TrackingHistory" ma:index="10" nillable="true" ma:displayName="Tracking History" ma:internalName="FCP_TrackingHistory">
      <xsd:simpleType>
        <xsd:restriction base="dms:Note"/>
      </xsd:simpleType>
    </xsd:element>
    <xsd:element name="FCP_PublicationDate" ma:index="11" ma:displayName="Publication Date" ma:format="DateOnly" ma:indexed="true" ma:internalName="FCP_PublicationDate">
      <xsd:simpleType>
        <xsd:restriction base="dms:DateTime"/>
      </xsd:simpleType>
    </xsd:element>
    <xsd:element name="FCP_DocumentType" ma:index="12" ma:displayName="Document Type" ma:default="" ma:format="Dropdown" ma:indexed="true" ma:internalName="FCP_DocumentType">
      <xsd:simpleType>
        <xsd:restriction base="dms:Choice">
          <xsd:enumeration value="P - Core procedure"/>
          <xsd:enumeration value="C - Charter"/>
          <xsd:enumeration value="F - Form"/>
          <xsd:enumeration value="I - Instruction"/>
          <xsd:enumeration value="S - Standard"/>
        </xsd:restriction>
      </xsd:simpleType>
    </xsd:element>
    <xsd:element name="FCP_Theme" ma:index="13" nillable="true" ma:displayName="Theme" ma:list="{79fa3558-8088-4d9f-8025-939ca2f927ef}" ma:internalName="FCP_Theme" ma:showField="Title" ma:web="{8ed4f120-bf4f-4e41-9067-27b07be0b80c}">
      <xsd:simpleType>
        <xsd:restriction base="dms:Lookup"/>
      </xsd:simpleType>
    </xsd:element>
    <xsd:element name="FCP_KeyProcess" ma:index="14" ma:displayName="Key Process" ma:list="{afa28dfb-3502-47a7-9645-5eb2fd8ee213}" ma:internalName="FCP_KeyProcess" ma:showField="Title" ma:web="{8ed4f120-bf4f-4e41-9067-27b07be0b80c}">
      <xsd:simpleType>
        <xsd:restriction base="dms:Lookup"/>
      </xsd:simpleType>
    </xsd:element>
    <xsd:element name="FCP_Entity" ma:index="15" ma:displayName="Entity" ma:list="{b275c9d3-04d3-42a0-8d6e-9b3f43b5f9a3}" ma:internalName="FCP_Entity" ma:showField="Title" ma:web="{8ed4f120-bf4f-4e41-9067-27b07be0b80c}">
      <xsd:simpleType>
        <xsd:restriction base="dms:Lookup"/>
      </xsd:simpleType>
    </xsd:element>
    <xsd:element name="FCP_Reference" ma:index="16" nillable="true" ma:displayName="Reference" ma:internalName="FCP_Reference">
      <xsd:simpleType>
        <xsd:restriction base="dms:Text"/>
      </xsd:simpleType>
    </xsd:element>
    <xsd:element name="FCP_ReferenceNumber" ma:index="17" ma:displayName="Reference Number" ma:internalName="FCP_ReferenceNumber">
      <xsd:simpleType>
        <xsd:restriction base="dms:Text"/>
      </xsd:simpleType>
    </xsd:element>
    <xsd:element name="FCP_OperationalSubSystem" ma:index="18" ma:displayName="Operational Sub System" ma:list="{dbf559aa-dae2-4906-bd56-37de5efb9a00}" ma:internalName="FCP_OperationalSubSystem" ma:showField="Title" ma:web="{8ed4f120-bf4f-4e41-9067-27b07be0b80c}">
      <xsd:simpleType>
        <xsd:restriction base="dms:Lookup"/>
      </xsd:simpleType>
    </xsd:element>
    <xsd:element name="FCP_Nature" ma:index="19" ma:displayName="Nature" ma:default="Faurecia Documentation" ma:format="Dropdown" ma:indexed="true" ma:internalName="FCP_Nature">
      <xsd:simpleType>
        <xsd:restriction base="dms:Choice">
          <xsd:enumeration value="Faurecia Documentation"/>
          <xsd:enumeration value="Managers Empowerment"/>
          <xsd:enumeration value="Business Processes"/>
        </xsd:restriction>
      </xsd:simpleType>
    </xsd:element>
    <xsd:element name="FCP_DocumentVersion" ma:index="20" ma:displayName="Document Version" ma:default="1" ma:format="Dropdown" ma:indexed="true" ma:internalName="FCP_DocumentVersion">
      <xsd:simpleType>
        <xsd:restriction base="dms:Choice">
          <xsd:enumeration value="1"/>
          <xsd:enumeration value="2"/>
          <xsd:enumeration value="3"/>
          <xsd:enumeration value="4"/>
          <xsd:enumeration value="5"/>
          <xsd:enumeration value="6"/>
          <xsd:enumeration value="7"/>
          <xsd:enumeration value="8"/>
          <xsd:enumeration value="9"/>
          <xsd:enumeration value="10"/>
          <xsd:enumeration value="11"/>
          <xsd:enumeration value="12"/>
          <xsd:enumeration value="13"/>
          <xsd:enumeration value="14"/>
          <xsd:enumeration value="15"/>
          <xsd:enumeration value="16"/>
          <xsd:enumeration value="17"/>
          <xsd:enumeration value="18"/>
          <xsd:enumeration value="19"/>
          <xsd:enumeration value="20"/>
          <xsd:enumeration value="21"/>
          <xsd:enumeration value="22"/>
          <xsd:enumeration value="23"/>
          <xsd:enumeration value="24"/>
          <xsd:enumeration value="25"/>
          <xsd:enumeration value="26"/>
          <xsd:enumeration value="27"/>
          <xsd:enumeration value="28"/>
          <xsd:enumeration value="29"/>
          <xsd:enumeration value="30"/>
          <xsd:enumeration value="31"/>
          <xsd:enumeration value="32"/>
          <xsd:enumeration value="33"/>
          <xsd:enumeration value="34"/>
          <xsd:enumeration value="35"/>
          <xsd:enumeration value="36"/>
          <xsd:enumeration value="37"/>
          <xsd:enumeration value="38"/>
          <xsd:enumeration value="39"/>
          <xsd:enumeration value="40"/>
          <xsd:enumeration value="41"/>
          <xsd:enumeration value="42"/>
          <xsd:enumeration value="43"/>
          <xsd:enumeration value="44"/>
          <xsd:enumeration value="45"/>
          <xsd:enumeration value="46"/>
          <xsd:enumeration value="47"/>
          <xsd:enumeration value="48"/>
          <xsd:enumeration value="49"/>
          <xsd:enumeration value="50"/>
          <xsd:enumeration value="51"/>
          <xsd:enumeration value="52"/>
          <xsd:enumeration value="53"/>
          <xsd:enumeration value="54"/>
          <xsd:enumeration value="55"/>
          <xsd:enumeration value="56"/>
          <xsd:enumeration value="57"/>
          <xsd:enumeration value="58"/>
          <xsd:enumeration value="59"/>
          <xsd:enumeration value="60"/>
        </xsd:restriction>
      </xsd:simpleType>
    </xsd:element>
    <xsd:element name="FCP_Language" ma:index="21" ma:displayName="Language" ma:list="{6a509aaa-1285-4d6e-a262-e4117c4dd50a}" ma:internalName="FCP_Language" ma:showField="Title" ma:web="{8ed4f120-bf4f-4e41-9067-27b07be0b80c}">
      <xsd:simpleType>
        <xsd:restriction base="dms:Lookup"/>
      </xsd:simpleType>
    </xsd:element>
    <xsd:element name="FCP_DocumentOwner" ma:index="22" ma:displayName="Document Owner" ma:list="{a2ca5da1-7dc2-4d29-b552-dc60996f1475}" ma:internalName="FCP_DocumentOwner" ma:showField="Title" ma:web="{8ed4f120-bf4f-4e41-9067-27b07be0b80c}">
      <xsd:simpleType>
        <xsd:restriction base="dms:Lookup"/>
      </xsd:simpleType>
    </xsd:element>
    <xsd:element name="FCP_NewsletterNotification" ma:index="23" nillable="true" ma:displayName="Newsletter Notification" ma:default="" ma:format="Dropdown" ma:internalName="FCP_NewsletterNotification">
      <xsd:simpleType>
        <xsd:restriction base="dms:Choice">
          <xsd:enumeration value="Yes"/>
          <xsd:enumeration value="No"/>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F94F348-EE81-4FBA-92EC-716C8E3D91EE}">
  <ds:schemaRefs>
    <ds:schemaRef ds:uri="http://purl.org/dc/elements/1.1/"/>
    <ds:schemaRef ds:uri="http://purl.org/dc/dcmitype/"/>
    <ds:schemaRef ds:uri="http://schemas.microsoft.com/office/2006/metadata/properties"/>
    <ds:schemaRef ds:uri="http://schemas.microsoft.com/office/infopath/2007/PartnerControls"/>
    <ds:schemaRef ds:uri="http://schemas.microsoft.com/office/2006/documentManagement/types"/>
    <ds:schemaRef ds:uri="http://purl.org/dc/terms/"/>
    <ds:schemaRef ds:uri="http://schemas.openxmlformats.org/package/2006/metadata/core-properties"/>
    <ds:schemaRef ds:uri="8ed4f120-bf4f-4e41-9067-27b07be0b80c"/>
    <ds:schemaRef ds:uri="http://www.w3.org/XML/1998/namespace"/>
  </ds:schemaRefs>
</ds:datastoreItem>
</file>

<file path=customXml/itemProps2.xml><?xml version="1.0" encoding="utf-8"?>
<ds:datastoreItem xmlns:ds="http://schemas.openxmlformats.org/officeDocument/2006/customXml" ds:itemID="{9A765BAF-BE46-4C72-A87C-B27396C8D0FF}">
  <ds:schemaRefs>
    <ds:schemaRef ds:uri="http://schemas.microsoft.com/sharepoint/v3/contenttype/forms"/>
  </ds:schemaRefs>
</ds:datastoreItem>
</file>

<file path=customXml/itemProps3.xml><?xml version="1.0" encoding="utf-8"?>
<ds:datastoreItem xmlns:ds="http://schemas.openxmlformats.org/officeDocument/2006/customXml" ds:itemID="{B40727FB-C7C2-477C-B8B1-53ECC2EC06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ed4f120-bf4f-4e41-9067-27b07be0b80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6</vt:i4>
      </vt:variant>
    </vt:vector>
  </HeadingPairs>
  <TitlesOfParts>
    <vt:vector size="16" baseType="lpstr">
      <vt:lpstr>8D-Report</vt:lpstr>
      <vt:lpstr>Statistics (D3+D7)</vt:lpstr>
      <vt:lpstr>Is l Is not</vt:lpstr>
      <vt:lpstr>Ishikawa</vt:lpstr>
      <vt:lpstr>5WHY</vt:lpstr>
      <vt:lpstr>Comment translation</vt:lpstr>
      <vt:lpstr>Info</vt:lpstr>
      <vt:lpstr>transl8</vt:lpstr>
      <vt:lpstr>invisible</vt:lpstr>
      <vt:lpstr>D1 Scope</vt:lpstr>
      <vt:lpstr>'5WHY'!Área_de_impresión</vt:lpstr>
      <vt:lpstr>'8D-Report'!Área_de_impresión</vt:lpstr>
      <vt:lpstr>'Comment translation'!Área_de_impresión</vt:lpstr>
      <vt:lpstr>'D1 Scope'!Área_de_impresión</vt:lpstr>
      <vt:lpstr>'Is l Is not'!Área_de_impresión</vt:lpstr>
      <vt:lpstr>Ishikawa!Área_de_impresión</vt:lpstr>
    </vt:vector>
  </TitlesOfParts>
  <Company>FAURECIA Nogent Sur Vernisson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Multilang. 8D Evaluation</dc:title>
  <dc:creator>BUCK Andreas</dc:creator>
  <cp:lastModifiedBy>Pedro</cp:lastModifiedBy>
  <cp:lastPrinted>2014-10-30T14:58:05Z</cp:lastPrinted>
  <dcterms:created xsi:type="dcterms:W3CDTF">2001-09-21T14:18:38Z</dcterms:created>
  <dcterms:modified xsi:type="dcterms:W3CDTF">2022-04-08T05:14:59Z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0x01010003200C3CB1AD465EBEA375FD7E8D34AC00B127A2D88FE1C6468046604F994B1879</vt:lpwstr>
  </property>
  <property fmtid="{D5CDD505-2E9C-101B-9397-08002B2CF9AE}" pid="3" name="_docset_NoMedatataSyncRequired">
    <vt:lpwstr>False</vt:lpwstr>
  </property>
</Properties>
</file>